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s\data\_Dropbox\Kevin M-Dropbox\"/>
    </mc:Choice>
  </mc:AlternateContent>
  <xr:revisionPtr revIDLastSave="0" documentId="13_ncr:1_{35258893-77D6-42F0-AD22-00C4BADDFDC3}" xr6:coauthVersionLast="47" xr6:coauthVersionMax="47" xr10:uidLastSave="{00000000-0000-0000-0000-000000000000}"/>
  <bookViews>
    <workbookView xWindow="-120" yWindow="-120" windowWidth="29040" windowHeight="15840" activeTab="2" xr2:uid="{BB700D4D-B63E-448E-BAA4-8F969665330A}"/>
  </bookViews>
  <sheets>
    <sheet name="INPUTS" sheetId="4" r:id="rId1"/>
    <sheet name="COMPARETWO" sheetId="29" r:id="rId2"/>
    <sheet name="COMPAREONE" sheetId="34" r:id="rId3"/>
  </sheets>
  <externalReferences>
    <externalReference r:id="rId4"/>
    <externalReference r:id="rId5"/>
  </externalReferences>
  <definedNames>
    <definedName name="crimptool" localSheetId="2">#REF!</definedName>
    <definedName name="_xlnm.Print_Area" localSheetId="2">COMPAREONE!$A:$K</definedName>
    <definedName name="_xlnm.Print_Titles" localSheetId="2">COMPAREONE!$1:$4</definedName>
    <definedName name="_xlnm.Print_Titles" localSheetId="1">COMPARETWO!$1:$1</definedName>
    <definedName name="STATUS">'[1]Working List'!$H$2:$H$5</definedName>
    <definedName name="STATUS3" localSheetId="2">'[1]Working List'!#REF!</definedName>
    <definedName name="ups" localSheetId="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4" l="1"/>
  <c r="J2" i="34"/>
  <c r="K2" i="34"/>
  <c r="L2" i="34"/>
  <c r="L6" i="34" s="1"/>
  <c r="N6" i="34" s="1"/>
  <c r="O6" i="34" s="1"/>
  <c r="M2" i="34"/>
  <c r="N2" i="34"/>
  <c r="B3" i="34"/>
  <c r="S5" i="34"/>
  <c r="U5" i="34"/>
  <c r="S6" i="34"/>
  <c r="U6" i="34"/>
  <c r="S7" i="34"/>
  <c r="U7" i="34"/>
  <c r="S8" i="34"/>
  <c r="U8" i="34"/>
  <c r="L9" i="34"/>
  <c r="N9" i="34" s="1"/>
  <c r="O9" i="34" s="1"/>
  <c r="S9" i="34"/>
  <c r="U9" i="34"/>
  <c r="S10" i="34"/>
  <c r="U10" i="34"/>
  <c r="S11" i="34"/>
  <c r="U11" i="34"/>
  <c r="S12" i="34"/>
  <c r="U12" i="34"/>
  <c r="L13" i="34"/>
  <c r="N13" i="34" s="1"/>
  <c r="O13" i="34" s="1"/>
  <c r="S13" i="34"/>
  <c r="U13" i="34"/>
  <c r="S14" i="34"/>
  <c r="U14" i="34"/>
  <c r="S15" i="34"/>
  <c r="U15" i="34"/>
  <c r="S16" i="34"/>
  <c r="U16" i="34"/>
  <c r="L17" i="34"/>
  <c r="N17" i="34" s="1"/>
  <c r="O17" i="34" s="1"/>
  <c r="S17" i="34"/>
  <c r="U17" i="34"/>
  <c r="S18" i="34"/>
  <c r="U18" i="34"/>
  <c r="S19" i="34"/>
  <c r="U19" i="34"/>
  <c r="S20" i="34"/>
  <c r="U20" i="34"/>
  <c r="L21" i="34"/>
  <c r="N21" i="34" s="1"/>
  <c r="O21" i="34" s="1"/>
  <c r="S21" i="34"/>
  <c r="U21" i="34"/>
  <c r="S22" i="34"/>
  <c r="U22" i="34"/>
  <c r="S23" i="34"/>
  <c r="U23" i="34"/>
  <c r="S24" i="34"/>
  <c r="U24" i="34"/>
  <c r="L25" i="34"/>
  <c r="N25" i="34" s="1"/>
  <c r="O25" i="34" s="1"/>
  <c r="S25" i="34"/>
  <c r="U25" i="34"/>
  <c r="S26" i="34"/>
  <c r="U26" i="34"/>
  <c r="S27" i="34"/>
  <c r="U27" i="34"/>
  <c r="S28" i="34"/>
  <c r="U28" i="34"/>
  <c r="L29" i="34"/>
  <c r="N29" i="34" s="1"/>
  <c r="O29" i="34" s="1"/>
  <c r="S29" i="34"/>
  <c r="U29" i="34"/>
  <c r="S30" i="34"/>
  <c r="U30" i="34"/>
  <c r="S31" i="34"/>
  <c r="U31" i="34"/>
  <c r="S32" i="34"/>
  <c r="U32" i="34"/>
  <c r="L33" i="34"/>
  <c r="N33" i="34" s="1"/>
  <c r="O33" i="34" s="1"/>
  <c r="S33" i="34"/>
  <c r="U33" i="34"/>
  <c r="S34" i="34"/>
  <c r="U34" i="34"/>
  <c r="S35" i="34"/>
  <c r="U35" i="34"/>
  <c r="S36" i="34"/>
  <c r="U36" i="34"/>
  <c r="L37" i="34"/>
  <c r="N37" i="34" s="1"/>
  <c r="O37" i="34" s="1"/>
  <c r="S37" i="34"/>
  <c r="U37" i="34"/>
  <c r="S38" i="34"/>
  <c r="U38" i="34"/>
  <c r="S39" i="34"/>
  <c r="U39" i="34"/>
  <c r="S40" i="34"/>
  <c r="U40" i="34"/>
  <c r="L41" i="34"/>
  <c r="N41" i="34" s="1"/>
  <c r="O41" i="34" s="1"/>
  <c r="S41" i="34"/>
  <c r="U41" i="34"/>
  <c r="S42" i="34"/>
  <c r="U42" i="34"/>
  <c r="S43" i="34"/>
  <c r="U43" i="34"/>
  <c r="S44" i="34"/>
  <c r="U44" i="34"/>
  <c r="L45" i="34"/>
  <c r="N45" i="34" s="1"/>
  <c r="O45" i="34" s="1"/>
  <c r="S45" i="34"/>
  <c r="U45" i="34"/>
  <c r="S46" i="34"/>
  <c r="U46" i="34"/>
  <c r="S47" i="34"/>
  <c r="U47" i="34"/>
  <c r="S48" i="34"/>
  <c r="U48" i="34"/>
  <c r="L49" i="34"/>
  <c r="N49" i="34" s="1"/>
  <c r="O49" i="34" s="1"/>
  <c r="S49" i="34"/>
  <c r="U49" i="34"/>
  <c r="S50" i="34"/>
  <c r="U50" i="34"/>
  <c r="S51" i="34"/>
  <c r="U51" i="34"/>
  <c r="S52" i="34"/>
  <c r="U52" i="34"/>
  <c r="L53" i="34"/>
  <c r="N53" i="34" s="1"/>
  <c r="O53" i="34" s="1"/>
  <c r="S53" i="34"/>
  <c r="U53" i="34"/>
  <c r="S54" i="34"/>
  <c r="U54" i="34"/>
  <c r="S55" i="34"/>
  <c r="U55" i="34"/>
  <c r="S56" i="34"/>
  <c r="U56" i="34"/>
  <c r="L57" i="34"/>
  <c r="N57" i="34" s="1"/>
  <c r="O57" i="34" s="1"/>
  <c r="S57" i="34"/>
  <c r="U57" i="34"/>
  <c r="S58" i="34"/>
  <c r="U58" i="34"/>
  <c r="S59" i="34"/>
  <c r="U59" i="34"/>
  <c r="S60" i="34"/>
  <c r="U60" i="34"/>
  <c r="L61" i="34"/>
  <c r="N61" i="34" s="1"/>
  <c r="O61" i="34" s="1"/>
  <c r="S61" i="34"/>
  <c r="U61" i="34"/>
  <c r="S62" i="34"/>
  <c r="U62" i="34"/>
  <c r="S63" i="34"/>
  <c r="U63" i="34"/>
  <c r="S64" i="34"/>
  <c r="U64" i="34"/>
  <c r="L65" i="34"/>
  <c r="N65" i="34" s="1"/>
  <c r="O65" i="34" s="1"/>
  <c r="S65" i="34"/>
  <c r="U65" i="34"/>
  <c r="C66" i="34"/>
  <c r="L5" i="34" l="1"/>
  <c r="N5" i="34" s="1"/>
  <c r="O5" i="34" s="1"/>
  <c r="L64" i="34"/>
  <c r="N64" i="34" s="1"/>
  <c r="O64" i="34" s="1"/>
  <c r="L48" i="34"/>
  <c r="N48" i="34" s="1"/>
  <c r="O48" i="34" s="1"/>
  <c r="L44" i="34"/>
  <c r="N44" i="34" s="1"/>
  <c r="O44" i="34" s="1"/>
  <c r="L40" i="34"/>
  <c r="N40" i="34" s="1"/>
  <c r="O40" i="34" s="1"/>
  <c r="L36" i="34"/>
  <c r="N36" i="34" s="1"/>
  <c r="O36" i="34" s="1"/>
  <c r="L32" i="34"/>
  <c r="N32" i="34" s="1"/>
  <c r="O32" i="34" s="1"/>
  <c r="L24" i="34"/>
  <c r="N24" i="34" s="1"/>
  <c r="O24" i="34" s="1"/>
  <c r="L16" i="34"/>
  <c r="N16" i="34" s="1"/>
  <c r="O16" i="34" s="1"/>
  <c r="L12" i="34"/>
  <c r="N12" i="34" s="1"/>
  <c r="O12" i="34" s="1"/>
  <c r="L8" i="34"/>
  <c r="N8" i="34" s="1"/>
  <c r="O8" i="34" s="1"/>
  <c r="L71" i="34"/>
  <c r="N71" i="34" s="1"/>
  <c r="O71" i="34" s="1"/>
  <c r="L63" i="34"/>
  <c r="N63" i="34" s="1"/>
  <c r="O63" i="34" s="1"/>
  <c r="L59" i="34"/>
  <c r="N59" i="34" s="1"/>
  <c r="O59" i="34" s="1"/>
  <c r="L55" i="34"/>
  <c r="N55" i="34" s="1"/>
  <c r="O55" i="34" s="1"/>
  <c r="L51" i="34"/>
  <c r="N51" i="34" s="1"/>
  <c r="O51" i="34" s="1"/>
  <c r="L47" i="34"/>
  <c r="N47" i="34" s="1"/>
  <c r="O47" i="34" s="1"/>
  <c r="L43" i="34"/>
  <c r="N43" i="34" s="1"/>
  <c r="O43" i="34" s="1"/>
  <c r="L39" i="34"/>
  <c r="N39" i="34" s="1"/>
  <c r="O39" i="34" s="1"/>
  <c r="L35" i="34"/>
  <c r="N35" i="34" s="1"/>
  <c r="O35" i="34" s="1"/>
  <c r="L31" i="34"/>
  <c r="N31" i="34" s="1"/>
  <c r="O31" i="34" s="1"/>
  <c r="L27" i="34"/>
  <c r="N27" i="34" s="1"/>
  <c r="O27" i="34" s="1"/>
  <c r="L23" i="34"/>
  <c r="N23" i="34" s="1"/>
  <c r="O23" i="34" s="1"/>
  <c r="L19" i="34"/>
  <c r="N19" i="34" s="1"/>
  <c r="O19" i="34" s="1"/>
  <c r="L15" i="34"/>
  <c r="N15" i="34" s="1"/>
  <c r="O15" i="34" s="1"/>
  <c r="L11" i="34"/>
  <c r="N11" i="34" s="1"/>
  <c r="O11" i="34" s="1"/>
  <c r="L7" i="34"/>
  <c r="N7" i="34" s="1"/>
  <c r="O7" i="34" s="1"/>
  <c r="L60" i="34"/>
  <c r="N60" i="34" s="1"/>
  <c r="O60" i="34" s="1"/>
  <c r="L56" i="34"/>
  <c r="N56" i="34" s="1"/>
  <c r="O56" i="34" s="1"/>
  <c r="L52" i="34"/>
  <c r="N52" i="34" s="1"/>
  <c r="O52" i="34" s="1"/>
  <c r="L28" i="34"/>
  <c r="N28" i="34" s="1"/>
  <c r="O28" i="34" s="1"/>
  <c r="L20" i="34"/>
  <c r="N20" i="34" s="1"/>
  <c r="O20" i="34" s="1"/>
  <c r="L62" i="34"/>
  <c r="N62" i="34" s="1"/>
  <c r="O62" i="34" s="1"/>
  <c r="L58" i="34"/>
  <c r="N58" i="34" s="1"/>
  <c r="O58" i="34" s="1"/>
  <c r="L54" i="34"/>
  <c r="N54" i="34" s="1"/>
  <c r="O54" i="34" s="1"/>
  <c r="L50" i="34"/>
  <c r="N50" i="34" s="1"/>
  <c r="O50" i="34" s="1"/>
  <c r="L46" i="34"/>
  <c r="N46" i="34" s="1"/>
  <c r="O46" i="34" s="1"/>
  <c r="L42" i="34"/>
  <c r="N42" i="34" s="1"/>
  <c r="O42" i="34" s="1"/>
  <c r="L38" i="34"/>
  <c r="N38" i="34" s="1"/>
  <c r="O38" i="34" s="1"/>
  <c r="L34" i="34"/>
  <c r="N34" i="34" s="1"/>
  <c r="O34" i="34" s="1"/>
  <c r="L30" i="34"/>
  <c r="N30" i="34" s="1"/>
  <c r="O30" i="34" s="1"/>
  <c r="L26" i="34"/>
  <c r="N26" i="34" s="1"/>
  <c r="O26" i="34" s="1"/>
  <c r="L22" i="34"/>
  <c r="N22" i="34" s="1"/>
  <c r="O22" i="34" s="1"/>
  <c r="L18" i="34"/>
  <c r="N18" i="34" s="1"/>
  <c r="O18" i="34" s="1"/>
  <c r="L14" i="34"/>
  <c r="N14" i="34" s="1"/>
  <c r="O14" i="34" s="1"/>
  <c r="L10" i="34"/>
  <c r="N10" i="34" s="1"/>
  <c r="O10" i="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P3" authorId="0" shapeId="0" xr:uid="{00000000-0006-0000-0400-000001000000}">
      <text>
        <r>
          <rPr>
            <sz val="10"/>
            <rFont val="Arial"/>
            <family val="2"/>
          </rPr>
          <t xml:space="preserve">PC:
</t>
        </r>
        <r>
          <rPr>
            <sz val="9"/>
            <color rgb="FF000000"/>
            <rFont val="Tahoma"/>
            <family val="2"/>
            <charset val="1"/>
          </rPr>
          <t>To unprotect go to
Tools&gt;Protection&gt;Unprotect Sheet
Case Sensitive</t>
        </r>
      </text>
    </comment>
  </commentList>
</comments>
</file>

<file path=xl/sharedStrings.xml><?xml version="1.0" encoding="utf-8"?>
<sst xmlns="http://schemas.openxmlformats.org/spreadsheetml/2006/main" count="869" uniqueCount="436">
  <si>
    <t>S.O.  #</t>
  </si>
  <si>
    <t>TOTAL QTY</t>
  </si>
  <si>
    <t>ASSY REQ</t>
  </si>
  <si>
    <t>OVERRUN</t>
  </si>
  <si>
    <t>WORKING BOM</t>
  </si>
  <si>
    <t>RECEIVING BOM</t>
  </si>
  <si>
    <t>Password: AA</t>
  </si>
  <si>
    <t>ITEM</t>
  </si>
  <si>
    <t>REF DES</t>
  </si>
  <si>
    <t>QTY</t>
  </si>
  <si>
    <t>UNIT</t>
  </si>
  <si>
    <t>Slot</t>
  </si>
  <si>
    <t>DESCRIPTION</t>
  </si>
  <si>
    <t>MFG</t>
  </si>
  <si>
    <t>MFG P/N</t>
  </si>
  <si>
    <t>PC/MRP</t>
  </si>
  <si>
    <t>CUSTOMER P/N</t>
  </si>
  <si>
    <t>COMMENTS</t>
  </si>
  <si>
    <t>QTY NEED</t>
  </si>
  <si>
    <t>KITTED</t>
  </si>
  <si>
    <t>SHORT</t>
  </si>
  <si>
    <t>QTY LEFT</t>
  </si>
  <si>
    <t>Quantity</t>
  </si>
  <si>
    <t>Designator</t>
  </si>
  <si>
    <t>Description</t>
  </si>
  <si>
    <t>Manufacturer</t>
  </si>
  <si>
    <t>Manufacturer Part Number</t>
  </si>
  <si>
    <t>Manufacturer 1</t>
  </si>
  <si>
    <t>Manufacturer Part Number 1</t>
  </si>
  <si>
    <t>Manufacturer 2</t>
  </si>
  <si>
    <t>Manufacturer Part Number 2</t>
  </si>
  <si>
    <t>Manufacturer 3</t>
  </si>
  <si>
    <t>Manufacturer Part Number 3</t>
  </si>
  <si>
    <t>Manufacturer 4</t>
  </si>
  <si>
    <t>Manufacturer Part Number 4</t>
  </si>
  <si>
    <t>EA</t>
  </si>
  <si>
    <t>CAP 0.1UF 50V XR7 20% 0402</t>
  </si>
  <si>
    <t>TDK</t>
  </si>
  <si>
    <t>C1005X7R1H104M050BB</t>
  </si>
  <si>
    <t>30-008947-00000</t>
  </si>
  <si>
    <t>C Series 0402 0.1 uF 50 V ±20 % Tolerance X7R SMT Multilayer Ceramic Capacitor</t>
  </si>
  <si>
    <t>TDK Corporation</t>
  </si>
  <si>
    <t>C1005X7R1H104K050BB</t>
  </si>
  <si>
    <t>KYOCERA AVX</t>
  </si>
  <si>
    <t>04025C104KAT2A</t>
  </si>
  <si>
    <t>CAP 10UF 16V X5R 20% 0603</t>
  </si>
  <si>
    <t>Murata</t>
  </si>
  <si>
    <t>ZRB18AR61C106ME01L</t>
  </si>
  <si>
    <t>30-008951-00000</t>
  </si>
  <si>
    <t>Chip Capacitor, 10µF +/-20%, 16V, 0603, Thickness 1.2 mm</t>
  </si>
  <si>
    <t>CAP 1UF 25V X5R  10% 0402</t>
  </si>
  <si>
    <t>C1005X5R1E105K050BE</t>
  </si>
  <si>
    <t>30-008952-00000</t>
  </si>
  <si>
    <t>Multilayer Ceramic Capacitors MLCC - SMD/SMT 0402 25V 1.00uF X5R 10% Soft Term</t>
  </si>
  <si>
    <t>Yageo</t>
  </si>
  <si>
    <t>YAGEO</t>
  </si>
  <si>
    <t>KEMET</t>
  </si>
  <si>
    <t>CAP 0.01UF 50V 5% 0603</t>
  </si>
  <si>
    <t>C0603C103J5REC7411</t>
  </si>
  <si>
    <t>30-008946-00000</t>
  </si>
  <si>
    <t>CAP CER SMD 0603 .01UF 5% X7R 50</t>
  </si>
  <si>
    <t>Omron</t>
  </si>
  <si>
    <t>P2</t>
  </si>
  <si>
    <t>P3</t>
  </si>
  <si>
    <t>MOSFET 2N-CH 50V 0.2A SC70-6</t>
  </si>
  <si>
    <t>BSS138DW-7-F</t>
  </si>
  <si>
    <t>30-005447-00000</t>
  </si>
  <si>
    <t>DIODES INC. - BSS138DW-7-F - Dual MOSFET, N Channel, 50 V, 200 mA, 3.5 ohm, SOT-363, Surface Mount</t>
  </si>
  <si>
    <t>Diodes</t>
  </si>
  <si>
    <t>RES 2.2K 1/16W 1% 0402</t>
  </si>
  <si>
    <t>CRCW04022K20FKEDC</t>
  </si>
  <si>
    <t>30-005880-00000</t>
  </si>
  <si>
    <t>RES 10K 1/16W 1% 0402</t>
  </si>
  <si>
    <t>AC0402FR-0710KL</t>
  </si>
  <si>
    <t>30-004914-00000</t>
  </si>
  <si>
    <t>Chip Resistor, 10 kOhms, +/-1 %, 63 mW, -55 to 155 degC, 0402</t>
  </si>
  <si>
    <t>RES 10 1/16W 1% 0402</t>
  </si>
  <si>
    <t>RC0402FR-0710RL</t>
  </si>
  <si>
    <t>30-003985-00000</t>
  </si>
  <si>
    <t>Chip Resistor, 10 Ohms, +/-1 %, 63 mW, -55 to 155 degC, 0402</t>
  </si>
  <si>
    <t>RES 1K 1/16W 1% 0402</t>
  </si>
  <si>
    <t>RC0402FR-071KL</t>
  </si>
  <si>
    <t>30-002362-00000</t>
  </si>
  <si>
    <t>RES 49.9 1/16W 1% 0402</t>
  </si>
  <si>
    <t>RC0402FR-0749R9L</t>
  </si>
  <si>
    <t>30-004901-00000</t>
  </si>
  <si>
    <t>Chip Resistor, 49.9 Ohms, +/-1 %, 63 mW, -55 to 155 degC, 0402</t>
  </si>
  <si>
    <t>R50</t>
  </si>
  <si>
    <t>RES 47K 1/16W 1% 0402</t>
  </si>
  <si>
    <t>RC0402FR-0747KL</t>
  </si>
  <si>
    <t>30-004960-00000</t>
  </si>
  <si>
    <t>Chip Resistor, 47 kOhms, +/-1 %, 63 mW, -55 to 155 degC, 0402</t>
  </si>
  <si>
    <t>RES 4.7K 1/16W 1% 0402</t>
  </si>
  <si>
    <t>CRCW04024K70FKED</t>
  </si>
  <si>
    <t>30-001166-00000</t>
  </si>
  <si>
    <t>Chip Resistor, 4.7 kOhms, +/-1 %, 63 mW, -55 to 155 degC, 0402</t>
  </si>
  <si>
    <t>RES 100K 1/16W 1% 0402</t>
  </si>
  <si>
    <t>CRCW0402100KFKED</t>
  </si>
  <si>
    <t>30-005881-00000</t>
  </si>
  <si>
    <t>Chip Resistor, 100 kOhms, +/-1 %, 63 mW, -55 to 155 degC, 0402</t>
  </si>
  <si>
    <t>RES 1M 1/16W 1% 0402</t>
  </si>
  <si>
    <t>RC0402FR-071ML</t>
  </si>
  <si>
    <t>30-004975-00000</t>
  </si>
  <si>
    <t>RES 1.5K 1/16W 1% 0402</t>
  </si>
  <si>
    <t>RT0402FRE071K5L</t>
  </si>
  <si>
    <t>30-008965-00000</t>
  </si>
  <si>
    <t>Stackpole Electronics Inc</t>
  </si>
  <si>
    <t>ITT C&amp;K</t>
  </si>
  <si>
    <t>TE Connectivity</t>
  </si>
  <si>
    <t>Vishay</t>
  </si>
  <si>
    <t>Vishay Semiconductors</t>
  </si>
  <si>
    <t>Maxim Integrated</t>
  </si>
  <si>
    <t>Maxim</t>
  </si>
  <si>
    <t>U2</t>
  </si>
  <si>
    <t>ON Semiconductor</t>
  </si>
  <si>
    <t>U4</t>
  </si>
  <si>
    <t>U7</t>
  </si>
  <si>
    <t>Microchip Technology</t>
  </si>
  <si>
    <t>Microchip</t>
  </si>
  <si>
    <t>U10</t>
  </si>
  <si>
    <t>Texas Instruments</t>
  </si>
  <si>
    <t>Analog Devices</t>
  </si>
  <si>
    <t>Analog Devices Inc.</t>
  </si>
  <si>
    <t>U13</t>
  </si>
  <si>
    <t>U14</t>
  </si>
  <si>
    <t>MaxLinear</t>
  </si>
  <si>
    <t>U17</t>
  </si>
  <si>
    <t>U18</t>
  </si>
  <si>
    <t>BLANK PCB</t>
  </si>
  <si>
    <t>AAT</t>
  </si>
  <si>
    <t>PCB1</t>
  </si>
  <si>
    <t>Notes</t>
  </si>
  <si>
    <t>Critical Component</t>
  </si>
  <si>
    <t xml:space="preserve">BOM 2 : </t>
  </si>
  <si>
    <t>START ROW :</t>
  </si>
  <si>
    <t>ALTERNATE MFGPN 1 :</t>
  </si>
  <si>
    <t>ALTERNATE MFGPN 2 :</t>
  </si>
  <si>
    <t>ALTERNATE MFGPN 3 :</t>
  </si>
  <si>
    <t>REF DES COLUMN :</t>
  </si>
  <si>
    <t>BOM 1 :</t>
  </si>
  <si>
    <t>ALTERNATE COLUMN :</t>
  </si>
  <si>
    <t>END ROW :</t>
  </si>
  <si>
    <t xml:space="preserve">END ROW : </t>
  </si>
  <si>
    <t>MFGPN COLUMN :</t>
  </si>
  <si>
    <t xml:space="preserve">MFGPN COLUMN : </t>
  </si>
  <si>
    <t>H</t>
  </si>
  <si>
    <t>E</t>
  </si>
  <si>
    <t>I</t>
  </si>
  <si>
    <t>K</t>
  </si>
  <si>
    <t>M</t>
  </si>
  <si>
    <t>B</t>
  </si>
  <si>
    <t>PCB</t>
  </si>
  <si>
    <t>ALTERNATE MFGPN 4 :</t>
  </si>
  <si>
    <t>O</t>
  </si>
  <si>
    <t>AP2112K-1.8TRG1</t>
  </si>
  <si>
    <t>LDO Regulator Pos 1.8V 0.6A 5-Pin SOT-23 T/R</t>
  </si>
  <si>
    <t>U31</t>
  </si>
  <si>
    <t>SGP30-2.5K</t>
  </si>
  <si>
    <t>Sensirion</t>
  </si>
  <si>
    <t>AIR QUALITY GAS SENSOR FOR VOC'S</t>
  </si>
  <si>
    <t>U30</t>
  </si>
  <si>
    <t>SPX5205M5-L/TR</t>
  </si>
  <si>
    <t>SPX5205 Series 16 V 150 mA Adj. SMT Low-Noise LDO Voltage Regulator - SOT-23-5</t>
  </si>
  <si>
    <t>U29</t>
  </si>
  <si>
    <t>AP2213M-3.3TRG1</t>
  </si>
  <si>
    <t>LDO Regulator Pos 3.3V 0.5A 8-Pin SOIC T/R</t>
  </si>
  <si>
    <t>U28</t>
  </si>
  <si>
    <t>2SMPB-02E</t>
  </si>
  <si>
    <t>Board Mount Pressure Sensor 30kPa to 110kPa Absolute Automotive 9-Pin LGA T/R</t>
  </si>
  <si>
    <t>U24</t>
  </si>
  <si>
    <t>ADS1114IDGST</t>
  </si>
  <si>
    <t>ADS1113IDGST</t>
  </si>
  <si>
    <t>16-Bit ADC with Integrated Multiplexer, Oscillator, and Reference, -40 to 125 degC, 10-pin SOP (DGS10), Green (RoHS &amp; no Sb/Br)</t>
  </si>
  <si>
    <t>U20</t>
  </si>
  <si>
    <t>MC74HCT4051ADG</t>
  </si>
  <si>
    <t>Analog Multiplexer Single 8:1 16-Pin SOIC Rail</t>
  </si>
  <si>
    <t>U19, U23</t>
  </si>
  <si>
    <t>MAX7321ATE+T</t>
  </si>
  <si>
    <t>I2C Port Expander 16-Pin TQFN EP T/R</t>
  </si>
  <si>
    <t>TMP37GRTZ-REEL7</t>
  </si>
  <si>
    <t>Low Voltage Temperature Sensor, 2.7 to 5.5 V Supply, Industrial, 5-pin SOT23 (RJ-5), Reel</t>
  </si>
  <si>
    <t>MICS-6814</t>
  </si>
  <si>
    <t>Amphenol</t>
  </si>
  <si>
    <t>CO/NO2/NH3 Triple Gas Sensor Metaloxide Gas Detection Sensor SMD T/R</t>
  </si>
  <si>
    <t>ISL60002DIH320Z-TK</t>
  </si>
  <si>
    <t>Renesas</t>
  </si>
  <si>
    <t>IC, VOLT REF, 2.048V, 20ppm/°C , ± 5mV, 3-SOT-23</t>
  </si>
  <si>
    <t>ZMOD4410AI1R</t>
  </si>
  <si>
    <t>TVOC IAQ INTEGRATED SENSOR</t>
  </si>
  <si>
    <t>SHT40-AD1B-R2</t>
  </si>
  <si>
    <t>SHT4x Series 3.6 V 80% RH 4th Generation Digital Humidity and Temperature Sensor</t>
  </si>
  <si>
    <t>VEML7700-TT</t>
  </si>
  <si>
    <t>HIGH ACCURACY SMD-SL AMBIENT LIG</t>
  </si>
  <si>
    <t>U6</t>
  </si>
  <si>
    <t>TLV2231CDBVR</t>
  </si>
  <si>
    <t>IC OPAMP GP 2MHZ RRO SOT23-5</t>
  </si>
  <si>
    <t>U5</t>
  </si>
  <si>
    <t>CAT24C04YI-GT3</t>
  </si>
  <si>
    <t>EEPROM Serial-I2C 4K-bit 512 x 8 1.8V/2.5V/3.3V/5V Automotive 8-Pin TSSOP T/R</t>
  </si>
  <si>
    <t>EKMC2607111K</t>
  </si>
  <si>
    <t>Panasonic</t>
  </si>
  <si>
    <t>EKMC2607113K</t>
  </si>
  <si>
    <t>Sensor, PIR</t>
  </si>
  <si>
    <t>U3</t>
  </si>
  <si>
    <t>MCP3221A1T-E/OT</t>
  </si>
  <si>
    <t>MCP3221A5T-E/OT</t>
  </si>
  <si>
    <t>IC ADC 12BIT SAR SOT23-5</t>
  </si>
  <si>
    <t>SCD40-D-R2</t>
  </si>
  <si>
    <t>CO2 SENSOR 50 PPM I2C SMD</t>
  </si>
  <si>
    <t>U1</t>
  </si>
  <si>
    <t>MS54 25</t>
  </si>
  <si>
    <t>Fischer</t>
  </si>
  <si>
    <t>MS53 25</t>
  </si>
  <si>
    <t>TO5, 8 CONTACTS</t>
  </si>
  <si>
    <t>SP1</t>
  </si>
  <si>
    <t>Chip Resistor, 2.2 kOhms, +/-1 %, 63 mW, -55 to 155 degC, 0402</t>
  </si>
  <si>
    <t>R51</t>
  </si>
  <si>
    <t>Chip Resistor,  1.5k Ohms, +/-1 %, 63 mW, -55 to 155 degC, 0402</t>
  </si>
  <si>
    <t>Chip Resistor,  33.2k Ohms, +/-1 %, 63 mW, -55 to 155 degC, 0402</t>
  </si>
  <si>
    <t>R39</t>
  </si>
  <si>
    <t>Chip Resistor, 499 kOhms, +/-1 %, 63 mW, -55 to 155 degC, 0805</t>
  </si>
  <si>
    <t>R32, R40</t>
  </si>
  <si>
    <t>Chip Resistor,  84.5 kOhms, +/-1 %, 63 mW, -55 to 155 degC, 0402</t>
  </si>
  <si>
    <t>R31</t>
  </si>
  <si>
    <t>Chip Resistor, 22 kOhms, +/-1 %, 63 mW, -55 to 155 degC, 0402</t>
  </si>
  <si>
    <t>R28, R34, R35, R36, R37, R41, R42, R43, R44, R57, R58</t>
  </si>
  <si>
    <t>Chip Resistor, 1.24 kOhms, +/-1 %, 63 mW, -55 to 155 degC, 0402</t>
  </si>
  <si>
    <t>R26</t>
  </si>
  <si>
    <t>Chip Resistor, 68.1 Ohms, +/-1 %, 63 mW, -55 to 155 degC, 0402</t>
  </si>
  <si>
    <t>R24</t>
  </si>
  <si>
    <t>Chip Resistor,  100 kOhms, +/-1 %, 63 mW, -55 to 155 degC, 0402</t>
  </si>
  <si>
    <t>R22, R23</t>
  </si>
  <si>
    <t>Chip Resistor, 51.1 Ohms, +/-1 %, 63 mW, -55 to 155 degC, 0402</t>
  </si>
  <si>
    <t>R21</t>
  </si>
  <si>
    <t>Chip Resistor, 63.4 Ohms, +/-1 %, 63 mW, -55 to 155 degC, 0402</t>
  </si>
  <si>
    <t>R20</t>
  </si>
  <si>
    <t>R19, R52</t>
  </si>
  <si>
    <t>R17, R30, R38</t>
  </si>
  <si>
    <t>Chip Resistor, 8.87 kOhms, +/-1 %, 63 mW, -55 to 155 degC, 0402</t>
  </si>
  <si>
    <t>R16</t>
  </si>
  <si>
    <t>Chip Resistor,  1 MOhms, +/-1 %, 63 mW, -55 to 155 degC, 0402</t>
  </si>
  <si>
    <t>R15</t>
  </si>
  <si>
    <t>Chip Resistor,  499k Ohms, +/-1 %, 63 mW, -55 to 155 degC, 0402</t>
  </si>
  <si>
    <t>R13</t>
  </si>
  <si>
    <t>Chip Resistor,  1k Ohms, +/-1 %, 63 mW, -55 to 155 degC, 0402</t>
  </si>
  <si>
    <t>R12, R18, R29, R46, R47, R48, R49, R53, R54, R55, R56</t>
  </si>
  <si>
    <t>R8, R14, R27</t>
  </si>
  <si>
    <t>R7</t>
  </si>
  <si>
    <t>R6, R33, R45</t>
  </si>
  <si>
    <t>R4, R9, R10, R59, R60</t>
  </si>
  <si>
    <t>Chip Resistor, 10.2 kOhms, +/-1 %, 63 mW, -55 to 155 degC, 0402</t>
  </si>
  <si>
    <t>R3, R5</t>
  </si>
  <si>
    <t>Chip Resistor, 2.0 kOhms, +/-1 %, 63 mW, -55 to 155 degC, 0402</t>
  </si>
  <si>
    <t>R2, R11</t>
  </si>
  <si>
    <t>Chip Resistor, 100 Ohms, +/-1 %, 63 mW, -55 to 155 degC, 0402</t>
  </si>
  <si>
    <t>R1</t>
  </si>
  <si>
    <t>Q1, Q3</t>
  </si>
  <si>
    <t>HA3-10-PCB002 REV G</t>
  </si>
  <si>
    <t>292227-4</t>
  </si>
  <si>
    <t>Conn Shrouded Header HDR 4 POS 1.5mm Solder RA SMD Automotive T/R</t>
  </si>
  <si>
    <t>P4</t>
  </si>
  <si>
    <t>SM04B-GHS-TB(LF)(SN)</t>
  </si>
  <si>
    <t>JST</t>
  </si>
  <si>
    <t>In a Pack of 5, JST GH, 1.25mm Pitch, 4 Way, Right Angle PCB Header, Surface Mount</t>
  </si>
  <si>
    <t>S5B-ZR-SM4A-TF(LF)(SN)</t>
  </si>
  <si>
    <t>Conn Shrouded Header HDR 5 POS 1.5mm Solder RA SMD T/R / CONN HEADER ZH SIDE 5POS 1.5MM</t>
  </si>
  <si>
    <t>S2BPHSM4TBLFSN</t>
  </si>
  <si>
    <t>Connector Header, PH Series, 2 Position, Side Entry, 2.00mm, Solder, Surface Mount, Natural</t>
  </si>
  <si>
    <t>P1</t>
  </si>
  <si>
    <t>M20-8751042</t>
  </si>
  <si>
    <t>Harwin</t>
  </si>
  <si>
    <t>Connector, Header, 20POS, 2.54MM, 2ROW</t>
  </si>
  <si>
    <t>J1</t>
  </si>
  <si>
    <t>CL05C101JB5NNNC</t>
  </si>
  <si>
    <t>Samsung</t>
  </si>
  <si>
    <t>CAP CER 100PF 50V C0G/NP0 0402</t>
  </si>
  <si>
    <t>C45</t>
  </si>
  <si>
    <t>CL21B225KOFNNNE</t>
  </si>
  <si>
    <t>Samsung Electro-Mechanics America, Inc</t>
  </si>
  <si>
    <t>CAP CER 2.2UF 16V X7R 0805</t>
  </si>
  <si>
    <t>C43</t>
  </si>
  <si>
    <t>C1210C107M8PACTU</t>
  </si>
  <si>
    <t>CAP CER 100UF 10V X5R 1210</t>
  </si>
  <si>
    <t>C41, C42</t>
  </si>
  <si>
    <t>JMK107B7225KA8TR</t>
  </si>
  <si>
    <t>Taiyo Yuden</t>
  </si>
  <si>
    <t>Multilayer Ceramic Capacitors MLCC - SMD/SMT 0603 6.3VDC 2.2uF 10% X7R</t>
  </si>
  <si>
    <t>C28, C34</t>
  </si>
  <si>
    <t>C17, C49</t>
  </si>
  <si>
    <t>C16, C36, C37, C44, C46, C48</t>
  </si>
  <si>
    <t>C5, C8, C11, C24</t>
  </si>
  <si>
    <t>C2, C19, C25</t>
  </si>
  <si>
    <t>C1, C3, C4, C6, C7, C9, C10, C12, C13, C14, C15, C18, C20, C21, C22, C23, C26, C27, C29, C30, C31, C32, C33, C35, C38, C39, C40, C47, C50</t>
  </si>
  <si>
    <t>PTS526SK08SMTR2LFS</t>
  </si>
  <si>
    <t>Switch Tactile N.O. SPST Flush Round Button Gull Wing 0.05A 12VDC 200000Cycles 2.45N SMD T/R</t>
  </si>
  <si>
    <t>B1</t>
  </si>
  <si>
    <t>Base SensorBoard</t>
  </si>
  <si>
    <t>HA3-10-SCH002.PrjPcb</t>
  </si>
  <si>
    <t>6/722 update to dnp PER EMAIL</t>
  </si>
  <si>
    <t>40-005180-00000</t>
  </si>
  <si>
    <t>TSW-106-14-F-D</t>
  </si>
  <si>
    <t>Samtec Inc.</t>
  </si>
  <si>
    <t>CONN HEADER VERT 12POS 2.54MM</t>
  </si>
  <si>
    <t>J5</t>
  </si>
  <si>
    <t>dnp</t>
  </si>
  <si>
    <r>
      <rPr>
        <sz val="10"/>
        <rFont val="Arial"/>
        <family val="2"/>
      </rPr>
      <t>7/28/22 - CONFIRM ADD ON TO BASE MODEL</t>
    </r>
    <r>
      <rPr>
        <sz val="10"/>
        <color rgb="FFFF0000"/>
        <rFont val="Arial"/>
        <family val="2"/>
        <charset val="1"/>
      </rPr>
      <t xml:space="preserve">
08/10/22: Updated MFGPN to TMP37</t>
    </r>
  </si>
  <si>
    <t>30-007212-00000</t>
  </si>
  <si>
    <t>SENSOR ANALOG 5C-100C SOT23-5</t>
  </si>
  <si>
    <t>6/28/22 - UPDATE R2,R11</t>
  </si>
  <si>
    <t>30-001167-00000</t>
  </si>
  <si>
    <t>CRCW04022K00FKED</t>
  </si>
  <si>
    <t>Vishay Dale</t>
  </si>
  <si>
    <t>RES 2K 1/16W 1% 0402</t>
  </si>
  <si>
    <t>FILE# Y21245682G</t>
  </si>
  <si>
    <t>20-000873-03000</t>
  </si>
  <si>
    <t>HA3-10-PCB002,G</t>
  </si>
  <si>
    <t>30-010178-00000</t>
  </si>
  <si>
    <t>Diodes Incorporated</t>
  </si>
  <si>
    <t>IC REG LINEAR 1.8V 600MA SOT25</t>
  </si>
  <si>
    <t>30-005441-00000</t>
  </si>
  <si>
    <t>Sensirion AG</t>
  </si>
  <si>
    <t>IC SENSOR AIR QUALITY GAS FOR VOCS</t>
  </si>
  <si>
    <t>30-010177-00000</t>
  </si>
  <si>
    <t>MaxLinear, Inc.</t>
  </si>
  <si>
    <t>IC REG LIN POS ADJ 150MA SOT23-5</t>
  </si>
  <si>
    <t>30-010176-00000</t>
  </si>
  <si>
    <t>IC REG LINEAR 3.3V 500MA 8SOIC</t>
  </si>
  <si>
    <t>30-008980-00000</t>
  </si>
  <si>
    <t>BAROMETRIC DGTL PRESS SENS 9LG</t>
  </si>
  <si>
    <t>Texas Instruments - ADS1114IDGST</t>
  </si>
  <si>
    <t>30-008956-00000</t>
  </si>
  <si>
    <t>IC ADC 16BIT SIGMA-DELTA 10VSSOP</t>
  </si>
  <si>
    <t>30-008957-00000</t>
  </si>
  <si>
    <t>onsemi</t>
  </si>
  <si>
    <t>IC MUX 8:1 100 OHM 16SOIC</t>
  </si>
  <si>
    <t>30-008960-00000</t>
  </si>
  <si>
    <t>IC I/O EXPANDER I2C 8B 16TQFN</t>
  </si>
  <si>
    <t>30-005443-00000</t>
  </si>
  <si>
    <t>SGX Sensortech</t>
  </si>
  <si>
    <t>AIR QUALITY SENSORS MOS TRIPLE SENS</t>
  </si>
  <si>
    <t>30-007647-00000</t>
  </si>
  <si>
    <t>Renesas Electronics</t>
  </si>
  <si>
    <t>IC VREF SERIES 0.24% SOT23-3</t>
  </si>
  <si>
    <t>30-008981-00000</t>
  </si>
  <si>
    <t>AIR QUALITY SENSOR TVOC IAQ 12C OUT</t>
  </si>
  <si>
    <t>30-008751-00000</t>
  </si>
  <si>
    <t>SENSOR HUMIDITY 100 RH</t>
  </si>
  <si>
    <t>30-008982-00000</t>
  </si>
  <si>
    <t>SENSOR OPT HI ACCURACY SL 4SMD</t>
  </si>
  <si>
    <t>30-008739-00000</t>
  </si>
  <si>
    <t>IC OPAMP  GP 1 CICUIT SOT23-5</t>
  </si>
  <si>
    <t>30-008747-00000</t>
  </si>
  <si>
    <t>IC EEPROM 4KBIT I2C 8TSSOP</t>
  </si>
  <si>
    <t>Panasonic - EKMC2607113K</t>
  </si>
  <si>
    <t>40-004701-00000</t>
  </si>
  <si>
    <t>Panasonic Electronic Corp</t>
  </si>
  <si>
    <t>Sensors PIR 170uA Lo Pro WHT Analog</t>
  </si>
  <si>
    <t>ALT:
MICROCHIP MCP3221A1T-E/OT
(30-010931-00)</t>
  </si>
  <si>
    <t>30-008742-00000</t>
  </si>
  <si>
    <t>30-008748-00000</t>
  </si>
  <si>
    <t>SENSOR 50 PPM I2C CO2</t>
  </si>
  <si>
    <t>6/8/22 UPDATE TO MS 53 25 PER EMAIL</t>
  </si>
  <si>
    <t>75-000464-00000</t>
  </si>
  <si>
    <t>MS 53 25</t>
  </si>
  <si>
    <t>Fischer Elektronik</t>
  </si>
  <si>
    <t>MOUNTING  MATERIAL TO 5 UL 94 V-0</t>
  </si>
  <si>
    <t>30-002425-00000</t>
  </si>
  <si>
    <t>CRCW040233K2FKED</t>
  </si>
  <si>
    <t>RES 33.2K 1/16W 1% 0402</t>
  </si>
  <si>
    <t>30-005605-00000</t>
  </si>
  <si>
    <t>ERJ-6ENF4993V</t>
  </si>
  <si>
    <t>RES 499K 1/8W 1% 0805</t>
  </si>
  <si>
    <t>30-010175-00000</t>
  </si>
  <si>
    <t>RMCF0402FT84K5</t>
  </si>
  <si>
    <t>RES 84.5K 1/16W 1% 0402</t>
  </si>
  <si>
    <t>30-008973-00000</t>
  </si>
  <si>
    <t>AC0402FR-0722KL</t>
  </si>
  <si>
    <t>RES 22K OHM 1% 1/16W 0402</t>
  </si>
  <si>
    <t>30-008964-00000</t>
  </si>
  <si>
    <t>RM04F1241CT</t>
  </si>
  <si>
    <t>RES 1.24K 1/16W 1% 0402</t>
  </si>
  <si>
    <t>30-010174-00000</t>
  </si>
  <si>
    <t>CRCW040268R1FKEDC</t>
  </si>
  <si>
    <t>RES 68.1 1/16W 1% 0402</t>
  </si>
  <si>
    <t>SAME AS ITEM #22</t>
  </si>
  <si>
    <t>30-004198-00000</t>
  </si>
  <si>
    <t>RC0402FR-0751R1L</t>
  </si>
  <si>
    <t>RES 51.1 1/16W 1% 0402</t>
  </si>
  <si>
    <t>30-010173-00000</t>
  </si>
  <si>
    <t>RC0402FR-0763R4L</t>
  </si>
  <si>
    <t>RES 63.4 1/16W 1 % 0402</t>
  </si>
  <si>
    <t>30-008977-00000</t>
  </si>
  <si>
    <t>RMCF0402FT8K87</t>
  </si>
  <si>
    <t>RES 8.87K OHM 1/16W 1% 0402</t>
  </si>
  <si>
    <t>30-008975-00000</t>
  </si>
  <si>
    <t>AC0402FR-07499KL</t>
  </si>
  <si>
    <t>RES 499K 1/16W 1% 0402</t>
  </si>
  <si>
    <t>SAME AS ITEM #32</t>
  </si>
  <si>
    <t>30-009048-00000</t>
  </si>
  <si>
    <t>RC0402FR-0710K2L</t>
  </si>
  <si>
    <t>RES 10.2K OHM 1% 1/16W 0402</t>
  </si>
  <si>
    <t>PER EMAIL: REMOVED R2, R11. THEY ARE NOW 2K.</t>
  </si>
  <si>
    <t>30-003436-00000</t>
  </si>
  <si>
    <t>RC0402FR-07100RL</t>
  </si>
  <si>
    <t>RES 100 1/16W 1% 0402</t>
  </si>
  <si>
    <t>30-010172-00000</t>
  </si>
  <si>
    <t>TE Connectivity AMP Connectors</t>
  </si>
  <si>
    <t>CONN HEADER SMD R/A 4POS 1.5MM</t>
  </si>
  <si>
    <t>30-008925-00000</t>
  </si>
  <si>
    <t>CONN HEADER R/A 4POS 1.25MM</t>
  </si>
  <si>
    <t>30-009474-00000</t>
  </si>
  <si>
    <t>CONN HEADER SMD R/A 5POS 1.5MM</t>
  </si>
  <si>
    <t>30-000259-00000</t>
  </si>
  <si>
    <t>S2B-PH-SM4-TB(LF)(SN)</t>
  </si>
  <si>
    <t>JST Sales America Inc.</t>
  </si>
  <si>
    <t>CONN 2P 2MM PH SIDE SMD</t>
  </si>
  <si>
    <t>ALIAS: M20-8751042R</t>
  </si>
  <si>
    <t>30-009473-00000</t>
  </si>
  <si>
    <t>CONN HEADER 20POS MALE PIN</t>
  </si>
  <si>
    <t>30-002556-00000</t>
  </si>
  <si>
    <t>CAP CER 100PF 50V 5% NP0 0402</t>
  </si>
  <si>
    <t>30-000129-00000</t>
  </si>
  <si>
    <t>CAP CER 2.2UF 16V 10% X7R 0805</t>
  </si>
  <si>
    <t>30-009589-00000</t>
  </si>
  <si>
    <t>30-009448-00000</t>
  </si>
  <si>
    <t>CAP CER 2.2uF 6.3V 10% X7R 0603</t>
  </si>
  <si>
    <t>SAME AS ITEM #5</t>
  </si>
  <si>
    <t>SAM E AS ITEM #6</t>
  </si>
  <si>
    <t>ALTS:
TDK C1005X7R1H104K050BB
(30-002326-00)
AVX 04025C104KAT2A
(30-010925-00)</t>
  </si>
  <si>
    <t>30-010171-00000</t>
  </si>
  <si>
    <t>SWITCH TACTILE SPSTNO SMD</t>
  </si>
  <si>
    <t xml:space="preserve">BUILD </t>
  </si>
  <si>
    <t>INSTRUCTIONS</t>
  </si>
  <si>
    <t>Drag customer BOM and your BOM into the program. Name your BOM "COMPAREONE" and</t>
  </si>
  <si>
    <t>the customer BOM "COMPARETWO". Fill out the inputs. CTRL + i to run.</t>
  </si>
  <si>
    <t xml:space="preserve">*RECOMMEND MAKING A COPY WHEN DRAGGING IT IN HERE*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</si>
</sst>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[Red]#,##0.00"/>
  </numFmts>
  <fonts count="21" x14ac:knownFonts="1">
    <font>
      <sz val="11"/>
      <color theme="1"/>
      <name val="Calibri"/>
      <family val="2"/>
      <scheme val="minor"/>
    </font>
    <font>
      <sz val="10"/>
      <name val="Arial"/>
      <charset val="1"/>
    </font>
    <font>
      <sz val="10"/>
      <name val="Arial"/>
      <family val="2"/>
      <charset val="1"/>
    </font>
    <font>
      <b/>
      <sz val="11"/>
      <name val="Arial"/>
      <family val="2"/>
      <charset val="1"/>
    </font>
    <font>
      <b/>
      <sz val="14"/>
      <color rgb="FF0000FF"/>
      <name val="Arial"/>
      <family val="2"/>
      <charset val="1"/>
    </font>
    <font>
      <sz val="12"/>
      <name val="Arial"/>
      <family val="2"/>
      <charset val="1"/>
    </font>
    <font>
      <b/>
      <sz val="12"/>
      <name val="Arial"/>
      <family val="2"/>
      <charset val="1"/>
    </font>
    <font>
      <b/>
      <sz val="16"/>
      <color rgb="FF339966"/>
      <name val="Arial"/>
      <family val="2"/>
      <charset val="1"/>
    </font>
    <font>
      <sz val="20"/>
      <color rgb="FFFF0000"/>
      <name val="Arial"/>
      <family val="2"/>
      <charset val="1"/>
    </font>
    <font>
      <sz val="11"/>
      <name val="Arial"/>
      <family val="2"/>
      <charset val="1"/>
    </font>
    <font>
      <b/>
      <sz val="10"/>
      <name val="Arial"/>
      <family val="2"/>
      <charset val="1"/>
    </font>
    <font>
      <b/>
      <i/>
      <sz val="12"/>
      <name val="Arial"/>
      <family val="2"/>
      <charset val="1"/>
    </font>
    <font>
      <b/>
      <sz val="11"/>
      <color rgb="FF008000"/>
      <name val="Arial"/>
      <family val="2"/>
      <charset val="1"/>
    </font>
    <font>
      <sz val="10"/>
      <color rgb="FFFF0000"/>
      <name val="Arial"/>
      <family val="2"/>
      <charset val="1"/>
    </font>
    <font>
      <sz val="10"/>
      <name val="Arial"/>
      <family val="2"/>
    </font>
    <font>
      <sz val="10"/>
      <color rgb="FFFF0000"/>
      <name val="Arial"/>
      <family val="2"/>
    </font>
    <font>
      <sz val="9"/>
      <color rgb="FF000000"/>
      <name val="Tahoma"/>
      <family val="2"/>
      <charset val="1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  <charset val="1"/>
    </font>
    <font>
      <b/>
      <sz val="11"/>
      <color rgb="FFFF0000"/>
      <name val="Arial"/>
      <family val="2"/>
      <charset val="1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99"/>
        <bgColor rgb="FFFFFFCC"/>
      </patternFill>
    </fill>
    <fill>
      <patternFill patternType="solid">
        <fgColor rgb="FFD3D3D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dotted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14" fillId="0" borderId="0"/>
  </cellStyleXfs>
  <cellXfs count="75">
    <xf numFmtId="0" fontId="0" fillId="0" borderId="0" xfId="0"/>
    <xf numFmtId="0" fontId="2" fillId="0" borderId="6" xfId="2" applyBorder="1"/>
    <xf numFmtId="0" fontId="2" fillId="0" borderId="11" xfId="2" applyBorder="1"/>
    <xf numFmtId="0" fontId="0" fillId="0" borderId="0" xfId="0" quotePrefix="1"/>
    <xf numFmtId="0" fontId="0" fillId="3" borderId="0" xfId="0" applyFill="1"/>
    <xf numFmtId="0" fontId="0" fillId="3" borderId="6" xfId="0" applyFill="1" applyBorder="1"/>
    <xf numFmtId="0" fontId="0" fillId="3" borderId="0" xfId="0" quotePrefix="1" applyFill="1"/>
    <xf numFmtId="0" fontId="0" fillId="0" borderId="0" xfId="0" applyAlignment="1">
      <alignment horizontal="right"/>
    </xf>
    <xf numFmtId="0" fontId="14" fillId="0" borderId="0" xfId="3"/>
    <xf numFmtId="0" fontId="10" fillId="0" borderId="0" xfId="3" applyFont="1" applyAlignment="1">
      <alignment horizontal="center"/>
    </xf>
    <xf numFmtId="0" fontId="2" fillId="0" borderId="0" xfId="3" applyFont="1" applyAlignment="1">
      <alignment wrapText="1"/>
    </xf>
    <xf numFmtId="0" fontId="9" fillId="0" borderId="0" xfId="3" applyFont="1"/>
    <xf numFmtId="0" fontId="3" fillId="0" borderId="0" xfId="3" applyFont="1" applyAlignment="1">
      <alignment horizontal="center"/>
    </xf>
    <xf numFmtId="0" fontId="9" fillId="0" borderId="0" xfId="3" applyFont="1" applyAlignment="1">
      <alignment wrapText="1"/>
    </xf>
    <xf numFmtId="4" fontId="12" fillId="0" borderId="12" xfId="3" applyNumberFormat="1" applyFont="1" applyBorder="1" applyAlignment="1">
      <alignment horizontal="center"/>
    </xf>
    <xf numFmtId="164" fontId="3" fillId="0" borderId="11" xfId="3" applyNumberFormat="1" applyFont="1" applyBorder="1" applyAlignment="1">
      <alignment horizontal="center"/>
    </xf>
    <xf numFmtId="0" fontId="9" fillId="0" borderId="11" xfId="3" applyFont="1" applyBorder="1" applyAlignment="1" applyProtection="1">
      <alignment horizontal="center"/>
      <protection locked="0"/>
    </xf>
    <xf numFmtId="0" fontId="9" fillId="0" borderId="10" xfId="3" applyFont="1" applyBorder="1" applyAlignment="1">
      <alignment horizontal="center"/>
    </xf>
    <xf numFmtId="0" fontId="2" fillId="0" borderId="11" xfId="3" applyFont="1" applyBorder="1" applyAlignment="1">
      <alignment horizontal="left"/>
    </xf>
    <xf numFmtId="0" fontId="2" fillId="0" borderId="11" xfId="3" applyFont="1" applyBorder="1" applyAlignment="1">
      <alignment horizontal="center"/>
    </xf>
    <xf numFmtId="0" fontId="2" fillId="0" borderId="11" xfId="3" applyFont="1" applyBorder="1" applyAlignment="1">
      <alignment wrapText="1"/>
    </xf>
    <xf numFmtId="0" fontId="2" fillId="0" borderId="10" xfId="3" applyFont="1" applyBorder="1" applyAlignment="1">
      <alignment horizontal="center"/>
    </xf>
    <xf numFmtId="4" fontId="12" fillId="0" borderId="8" xfId="3" applyNumberFormat="1" applyFont="1" applyBorder="1" applyAlignment="1">
      <alignment horizontal="center"/>
    </xf>
    <xf numFmtId="164" fontId="3" fillId="0" borderId="6" xfId="3" applyNumberFormat="1" applyFont="1" applyBorder="1" applyAlignment="1">
      <alignment horizontal="center"/>
    </xf>
    <xf numFmtId="0" fontId="9" fillId="0" borderId="6" xfId="3" applyFont="1" applyBorder="1" applyAlignment="1" applyProtection="1">
      <alignment horizontal="center"/>
      <protection locked="0"/>
    </xf>
    <xf numFmtId="0" fontId="9" fillId="0" borderId="7" xfId="3" applyFont="1" applyBorder="1" applyAlignment="1">
      <alignment horizontal="center"/>
    </xf>
    <xf numFmtId="0" fontId="14" fillId="0" borderId="8" xfId="3" applyBorder="1" applyAlignment="1">
      <alignment horizontal="left"/>
    </xf>
    <xf numFmtId="0" fontId="2" fillId="0" borderId="6" xfId="3" applyFont="1" applyBorder="1" applyAlignment="1" applyProtection="1">
      <alignment horizontal="left"/>
      <protection locked="0"/>
    </xf>
    <xf numFmtId="0" fontId="2" fillId="0" borderId="6" xfId="3" applyFont="1" applyBorder="1" applyAlignment="1">
      <alignment horizontal="left"/>
    </xf>
    <xf numFmtId="0" fontId="2" fillId="0" borderId="6" xfId="3" applyFont="1" applyBorder="1" applyAlignment="1">
      <alignment horizontal="center"/>
    </xf>
    <xf numFmtId="0" fontId="2" fillId="0" borderId="6" xfId="3" applyFont="1" applyBorder="1" applyAlignment="1">
      <alignment wrapText="1"/>
    </xf>
    <xf numFmtId="0" fontId="2" fillId="0" borderId="7" xfId="3" applyFont="1" applyBorder="1" applyAlignment="1">
      <alignment horizontal="center"/>
    </xf>
    <xf numFmtId="0" fontId="2" fillId="0" borderId="8" xfId="3" applyFont="1" applyBorder="1" applyAlignment="1">
      <alignment horizontal="left" wrapText="1"/>
    </xf>
    <xf numFmtId="0" fontId="2" fillId="0" borderId="8" xfId="3" applyFont="1" applyBorder="1" applyAlignment="1">
      <alignment horizontal="left"/>
    </xf>
    <xf numFmtId="0" fontId="11" fillId="2" borderId="5" xfId="3" applyFont="1" applyFill="1" applyBorder="1" applyAlignment="1">
      <alignment horizontal="center" vertical="center"/>
    </xf>
    <xf numFmtId="0" fontId="11" fillId="2" borderId="4" xfId="3" applyFont="1" applyFill="1" applyBorder="1" applyAlignment="1">
      <alignment horizontal="center" vertical="center"/>
    </xf>
    <xf numFmtId="0" fontId="11" fillId="2" borderId="3" xfId="3" applyFont="1" applyFill="1" applyBorder="1" applyAlignment="1">
      <alignment horizontal="center" vertical="center"/>
    </xf>
    <xf numFmtId="0" fontId="6" fillId="2" borderId="5" xfId="3" applyFont="1" applyFill="1" applyBorder="1" applyAlignment="1">
      <alignment horizontal="center" vertical="center"/>
    </xf>
    <xf numFmtId="0" fontId="6" fillId="2" borderId="4" xfId="3" applyFont="1" applyFill="1" applyBorder="1" applyAlignment="1">
      <alignment horizontal="center" vertical="center"/>
    </xf>
    <xf numFmtId="0" fontId="6" fillId="2" borderId="4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/>
    </xf>
    <xf numFmtId="0" fontId="10" fillId="0" borderId="0" xfId="3" applyFont="1"/>
    <xf numFmtId="0" fontId="9" fillId="0" borderId="0" xfId="3" applyFont="1" applyAlignment="1">
      <alignment horizontal="center"/>
    </xf>
    <xf numFmtId="0" fontId="8" fillId="0" borderId="0" xfId="3" applyFont="1" applyAlignment="1">
      <alignment horizontal="left"/>
    </xf>
    <xf numFmtId="0" fontId="14" fillId="0" borderId="0" xfId="3" applyAlignment="1">
      <alignment horizontal="left"/>
    </xf>
    <xf numFmtId="0" fontId="8" fillId="0" borderId="0" xfId="3" applyFont="1" applyAlignment="1">
      <alignment horizontal="center"/>
    </xf>
    <xf numFmtId="0" fontId="14" fillId="0" borderId="0" xfId="3" applyAlignment="1">
      <alignment horizontal="center"/>
    </xf>
    <xf numFmtId="0" fontId="2" fillId="0" borderId="0" xfId="3" applyFont="1" applyAlignment="1">
      <alignment horizontal="center"/>
    </xf>
    <xf numFmtId="0" fontId="6" fillId="0" borderId="0" xfId="3" applyFont="1"/>
    <xf numFmtId="0" fontId="3" fillId="2" borderId="2" xfId="3" applyFont="1" applyFill="1" applyBorder="1" applyAlignment="1">
      <alignment horizontal="center"/>
    </xf>
    <xf numFmtId="0" fontId="7" fillId="0" borderId="0" xfId="3" applyFont="1" applyAlignment="1">
      <alignment horizontal="left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5" fillId="0" borderId="0" xfId="3" applyFont="1" applyAlignment="1">
      <alignment horizontal="center"/>
    </xf>
    <xf numFmtId="0" fontId="4" fillId="0" borderId="0" xfId="3" applyFont="1"/>
    <xf numFmtId="0" fontId="3" fillId="2" borderId="1" xfId="3" applyFont="1" applyFill="1" applyBorder="1" applyAlignment="1">
      <alignment horizontal="center"/>
    </xf>
    <xf numFmtId="0" fontId="2" fillId="0" borderId="8" xfId="2" applyBorder="1"/>
    <xf numFmtId="0" fontId="17" fillId="0" borderId="0" xfId="0" applyFont="1"/>
    <xf numFmtId="0" fontId="0" fillId="0" borderId="0" xfId="0" applyAlignment="1">
      <alignment horizontal="left"/>
    </xf>
    <xf numFmtId="0" fontId="18" fillId="0" borderId="0" xfId="3" applyFont="1"/>
    <xf numFmtId="4" fontId="19" fillId="0" borderId="8" xfId="3" applyNumberFormat="1" applyFont="1" applyBorder="1" applyAlignment="1">
      <alignment horizontal="center"/>
    </xf>
    <xf numFmtId="164" fontId="19" fillId="0" borderId="6" xfId="3" applyNumberFormat="1" applyFont="1" applyBorder="1" applyAlignment="1">
      <alignment horizontal="center"/>
    </xf>
    <xf numFmtId="0" fontId="18" fillId="0" borderId="6" xfId="3" applyFont="1" applyBorder="1" applyAlignment="1" applyProtection="1">
      <alignment horizontal="center"/>
      <protection locked="0"/>
    </xf>
    <xf numFmtId="0" fontId="18" fillId="0" borderId="7" xfId="3" applyFont="1" applyBorder="1" applyAlignment="1">
      <alignment horizontal="center"/>
    </xf>
    <xf numFmtId="0" fontId="2" fillId="0" borderId="9" xfId="3" applyFont="1" applyBorder="1" applyAlignment="1">
      <alignment horizontal="left"/>
    </xf>
    <xf numFmtId="0" fontId="20" fillId="0" borderId="0" xfId="3" applyFont="1"/>
    <xf numFmtId="0" fontId="14" fillId="0" borderId="0" xfId="3" quotePrefix="1"/>
    <xf numFmtId="0" fontId="14" fillId="0" borderId="0" xfId="3" quotePrefix="1" applyAlignment="1">
      <alignment wrapText="1"/>
    </xf>
    <xf numFmtId="0" fontId="15" fillId="0" borderId="12" xfId="3" applyFont="1" applyBorder="1" applyAlignment="1">
      <alignment horizontal="left" wrapText="1"/>
    </xf>
    <xf numFmtId="0" fontId="13" fillId="0" borderId="11" xfId="3" applyFont="1" applyBorder="1" applyAlignment="1" applyProtection="1">
      <alignment horizontal="left"/>
      <protection locked="0"/>
    </xf>
    <xf numFmtId="0" fontId="2" fillId="0" borderId="0" xfId="3" applyFont="1"/>
    <xf numFmtId="0" fontId="9" fillId="5" borderId="0" xfId="3" applyFont="1" applyFill="1"/>
    <xf numFmtId="0" fontId="9" fillId="4" borderId="0" xfId="3" applyFont="1" applyFill="1"/>
    <xf numFmtId="0" fontId="14" fillId="0" borderId="9" xfId="3" applyBorder="1" applyAlignment="1">
      <alignment horizontal="left" wrapText="1"/>
    </xf>
    <xf numFmtId="0" fontId="14" fillId="3" borderId="6" xfId="3" applyFill="1" applyBorder="1"/>
  </cellXfs>
  <cellStyles count="4">
    <cellStyle name="Normal" xfId="0" builtinId="0"/>
    <cellStyle name="Normal 2" xfId="1" xr:uid="{3EC1C03C-9E11-46B1-AE46-45DD7B5700F4}"/>
    <cellStyle name="Normal 2 2" xfId="2" xr:uid="{DF8D0D1A-B419-422F-9FB6-86043C626A25}"/>
    <cellStyle name="Normal 2 3" xfId="3" xr:uid="{4778FEC0-9A61-4FCE-9241-9659F825C502}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ompany\Assembly-Jobs\_ENGINEERING%20DOCUMENTS\BE%20BOMR%20TEMPLATE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ngineeringuser\Desktop\HALO%203PC,S_M_H%20BASE%20BOMR%20TEMPLET.xlsx" TargetMode="External"/><Relationship Id="rId1" Type="http://schemas.openxmlformats.org/officeDocument/2006/relationships/externalLinkPath" Target="HALO%203PC,S_M_H%20BASE%20BOMR%20TEMPL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p Assy"/>
      <sheetName val="Harness Assy"/>
      <sheetName val="PULL TEST"/>
      <sheetName val="Sub Assy 1"/>
      <sheetName val="Sub Assy 2"/>
      <sheetName val="Sub Assy 3"/>
      <sheetName val="Sub Assy 4"/>
      <sheetName val="Sub Assy 5"/>
      <sheetName val="P.O"/>
      <sheetName val="PCB"/>
      <sheetName val="Working List"/>
      <sheetName val="TRAVEL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H2" t="str">
            <v>COMPLETE</v>
          </cell>
        </row>
        <row r="3">
          <cell r="H3" t="str">
            <v>N/A</v>
          </cell>
        </row>
        <row r="4">
          <cell r="H4" t="str">
            <v xml:space="preserve">YES </v>
          </cell>
        </row>
        <row r="5">
          <cell r="H5" t="str">
            <v>NO</v>
          </cell>
        </row>
      </sheetData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ALO-3C,S BOMR (TURNKEY ALL)"/>
      <sheetName val="H3-CPU BD,M (BASE) BOMR"/>
      <sheetName val="H3-SENSOR BD,H (BASE) BOMR"/>
    </sheetNames>
    <sheetDataSet>
      <sheetData sheetId="0">
        <row r="2">
          <cell r="J2" t="str">
            <v>10/5/22 SL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48AD8-2C5C-4F68-BA1B-85D2FBD3C0E0}">
  <sheetPr codeName="Sheet3"/>
  <dimension ref="A1:G9"/>
  <sheetViews>
    <sheetView workbookViewId="0">
      <selection activeCell="E28" sqref="E28"/>
    </sheetView>
  </sheetViews>
  <sheetFormatPr defaultRowHeight="15" x14ac:dyDescent="0.25"/>
  <cols>
    <col min="1" max="1" width="20.5703125" bestFit="1" customWidth="1"/>
    <col min="4" max="4" width="20.7109375" bestFit="1" customWidth="1"/>
    <col min="7" max="7" width="82.28515625" customWidth="1"/>
  </cols>
  <sheetData>
    <row r="1" spans="1:7" x14ac:dyDescent="0.25">
      <c r="A1" t="s">
        <v>139</v>
      </c>
      <c r="D1" t="s">
        <v>133</v>
      </c>
      <c r="G1" s="57" t="s">
        <v>432</v>
      </c>
    </row>
    <row r="2" spans="1:7" x14ac:dyDescent="0.25">
      <c r="A2" t="s">
        <v>134</v>
      </c>
      <c r="B2">
        <v>5</v>
      </c>
      <c r="D2" t="s">
        <v>134</v>
      </c>
      <c r="E2">
        <v>3</v>
      </c>
      <c r="G2" t="s">
        <v>433</v>
      </c>
    </row>
    <row r="3" spans="1:7" x14ac:dyDescent="0.25">
      <c r="A3" t="s">
        <v>140</v>
      </c>
      <c r="B3" s="7" t="s">
        <v>148</v>
      </c>
      <c r="D3" t="s">
        <v>135</v>
      </c>
      <c r="E3" s="7" t="s">
        <v>147</v>
      </c>
      <c r="F3" s="7"/>
      <c r="G3" s="58" t="s">
        <v>434</v>
      </c>
    </row>
    <row r="4" spans="1:7" x14ac:dyDescent="0.25">
      <c r="A4" t="s">
        <v>138</v>
      </c>
      <c r="B4" s="7" t="s">
        <v>150</v>
      </c>
      <c r="D4" t="s">
        <v>136</v>
      </c>
      <c r="E4" s="7" t="s">
        <v>148</v>
      </c>
      <c r="F4" s="7"/>
    </row>
    <row r="5" spans="1:7" x14ac:dyDescent="0.25">
      <c r="A5" t="s">
        <v>143</v>
      </c>
      <c r="B5" s="7" t="s">
        <v>145</v>
      </c>
      <c r="D5" t="s">
        <v>137</v>
      </c>
      <c r="E5" s="7" t="s">
        <v>149</v>
      </c>
      <c r="F5" s="7"/>
      <c r="G5" t="s">
        <v>435</v>
      </c>
    </row>
    <row r="6" spans="1:7" x14ac:dyDescent="0.25">
      <c r="A6" t="s">
        <v>141</v>
      </c>
      <c r="B6">
        <v>65</v>
      </c>
      <c r="D6" t="s">
        <v>152</v>
      </c>
      <c r="E6" s="7" t="s">
        <v>153</v>
      </c>
      <c r="F6" s="7"/>
    </row>
    <row r="7" spans="1:7" x14ac:dyDescent="0.25">
      <c r="D7" t="s">
        <v>138</v>
      </c>
      <c r="E7" s="7" t="s">
        <v>150</v>
      </c>
    </row>
    <row r="8" spans="1:7" x14ac:dyDescent="0.25">
      <c r="D8" t="s">
        <v>144</v>
      </c>
      <c r="E8" s="7" t="s">
        <v>146</v>
      </c>
    </row>
    <row r="9" spans="1:7" x14ac:dyDescent="0.25">
      <c r="D9" t="s">
        <v>142</v>
      </c>
      <c r="E9">
        <v>63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A2D6-0531-4FE6-9358-B3C9F0E94BEA}">
  <sheetPr codeName="Sheet2"/>
  <dimension ref="A1:P83"/>
  <sheetViews>
    <sheetView workbookViewId="0">
      <pane ySplit="2" topLeftCell="A24" activePane="bottomLeft" state="frozen"/>
      <selection pane="bottomLeft" activeCell="C48" sqref="C48"/>
    </sheetView>
  </sheetViews>
  <sheetFormatPr defaultRowHeight="15" x14ac:dyDescent="0.25"/>
  <cols>
    <col min="1" max="1" width="11.28515625" customWidth="1"/>
    <col min="2" max="2" width="31.28515625" customWidth="1"/>
    <col min="3" max="3" width="49.140625" customWidth="1"/>
    <col min="4" max="4" width="26.140625" customWidth="1"/>
    <col min="5" max="5" width="32.140625" customWidth="1"/>
    <col min="6" max="6" width="47.5703125" customWidth="1"/>
    <col min="7" max="7" width="16" customWidth="1"/>
    <col min="8" max="8" width="24.85546875" customWidth="1"/>
    <col min="9" max="9" width="26.7109375" bestFit="1" customWidth="1"/>
    <col min="10" max="10" width="14.5703125" bestFit="1" customWidth="1"/>
    <col min="11" max="11" width="26.7109375" bestFit="1" customWidth="1"/>
    <col min="12" max="12" width="14.5703125" bestFit="1" customWidth="1"/>
    <col min="13" max="13" width="26.7109375" bestFit="1" customWidth="1"/>
    <col min="14" max="14" width="18" customWidth="1"/>
  </cols>
  <sheetData>
    <row r="1" spans="1:16" s="4" customFormat="1" x14ac:dyDescent="0.25">
      <c r="A1" s="6" t="s">
        <v>297</v>
      </c>
      <c r="B1" s="6" t="s">
        <v>296</v>
      </c>
    </row>
    <row r="2" spans="1:16" x14ac:dyDescent="0.25">
      <c r="A2" s="5" t="s">
        <v>22</v>
      </c>
      <c r="B2" s="5" t="s">
        <v>23</v>
      </c>
      <c r="C2" s="5" t="s">
        <v>24</v>
      </c>
      <c r="D2" s="5" t="s">
        <v>25</v>
      </c>
      <c r="E2" s="5" t="s">
        <v>26</v>
      </c>
      <c r="F2" s="5" t="s">
        <v>132</v>
      </c>
      <c r="G2" s="5" t="s">
        <v>131</v>
      </c>
      <c r="H2" s="5" t="s">
        <v>27</v>
      </c>
      <c r="I2" s="5" t="s">
        <v>28</v>
      </c>
      <c r="J2" s="5" t="s">
        <v>29</v>
      </c>
      <c r="K2" s="5" t="s">
        <v>30</v>
      </c>
      <c r="L2" s="5" t="s">
        <v>31</v>
      </c>
      <c r="M2" s="5" t="s">
        <v>32</v>
      </c>
      <c r="N2" s="5" t="s">
        <v>33</v>
      </c>
      <c r="O2" s="5" t="s">
        <v>34</v>
      </c>
      <c r="P2" s="4"/>
    </row>
    <row r="3" spans="1:16" x14ac:dyDescent="0.25">
      <c r="A3">
        <v>1</v>
      </c>
      <c r="B3" s="3" t="s">
        <v>295</v>
      </c>
      <c r="C3" s="3" t="s">
        <v>294</v>
      </c>
      <c r="D3" s="3" t="s">
        <v>107</v>
      </c>
      <c r="E3" s="3" t="s">
        <v>293</v>
      </c>
      <c r="F3" t="b">
        <v>1</v>
      </c>
    </row>
    <row r="4" spans="1:16" x14ac:dyDescent="0.25">
      <c r="A4">
        <v>29</v>
      </c>
      <c r="B4" s="3" t="s">
        <v>292</v>
      </c>
      <c r="C4" s="3" t="s">
        <v>40</v>
      </c>
      <c r="D4" s="3" t="s">
        <v>37</v>
      </c>
      <c r="E4" s="3" t="s">
        <v>38</v>
      </c>
      <c r="H4" t="s">
        <v>41</v>
      </c>
      <c r="I4" t="s">
        <v>42</v>
      </c>
      <c r="J4" t="s">
        <v>43</v>
      </c>
      <c r="K4" t="s">
        <v>44</v>
      </c>
    </row>
    <row r="5" spans="1:16" x14ac:dyDescent="0.25">
      <c r="A5">
        <v>3</v>
      </c>
      <c r="B5" s="3" t="s">
        <v>291</v>
      </c>
      <c r="C5" s="3" t="s">
        <v>60</v>
      </c>
      <c r="D5" s="3" t="s">
        <v>56</v>
      </c>
      <c r="E5" s="3" t="s">
        <v>58</v>
      </c>
      <c r="I5" t="s">
        <v>42</v>
      </c>
    </row>
    <row r="6" spans="1:16" x14ac:dyDescent="0.25">
      <c r="A6">
        <v>4</v>
      </c>
      <c r="B6" s="3" t="s">
        <v>290</v>
      </c>
      <c r="C6" s="3" t="s">
        <v>49</v>
      </c>
      <c r="D6" s="3" t="s">
        <v>46</v>
      </c>
      <c r="E6" s="3" t="s">
        <v>47</v>
      </c>
    </row>
    <row r="7" spans="1:16" x14ac:dyDescent="0.25">
      <c r="A7">
        <v>6</v>
      </c>
      <c r="B7" s="3" t="s">
        <v>289</v>
      </c>
      <c r="C7" s="3" t="s">
        <v>53</v>
      </c>
      <c r="D7" s="3" t="s">
        <v>37</v>
      </c>
      <c r="E7" s="3" t="s">
        <v>51</v>
      </c>
    </row>
    <row r="8" spans="1:16" x14ac:dyDescent="0.25">
      <c r="A8">
        <v>2</v>
      </c>
      <c r="B8" s="3" t="s">
        <v>288</v>
      </c>
      <c r="C8" s="3" t="s">
        <v>53</v>
      </c>
      <c r="D8" s="3" t="s">
        <v>37</v>
      </c>
      <c r="E8" s="3" t="s">
        <v>51</v>
      </c>
    </row>
    <row r="9" spans="1:16" x14ac:dyDescent="0.25">
      <c r="A9">
        <v>2</v>
      </c>
      <c r="B9" s="3" t="s">
        <v>287</v>
      </c>
      <c r="C9" s="3" t="s">
        <v>286</v>
      </c>
      <c r="D9" s="3" t="s">
        <v>285</v>
      </c>
      <c r="E9" s="3" t="s">
        <v>284</v>
      </c>
    </row>
    <row r="10" spans="1:16" x14ac:dyDescent="0.25">
      <c r="A10">
        <v>2</v>
      </c>
      <c r="B10" s="3" t="s">
        <v>283</v>
      </c>
      <c r="C10" s="3" t="s">
        <v>282</v>
      </c>
      <c r="D10" s="3" t="s">
        <v>56</v>
      </c>
      <c r="E10" s="3" t="s">
        <v>281</v>
      </c>
    </row>
    <row r="11" spans="1:16" x14ac:dyDescent="0.25">
      <c r="A11">
        <v>1</v>
      </c>
      <c r="B11" s="3" t="s">
        <v>280</v>
      </c>
      <c r="C11" s="3" t="s">
        <v>279</v>
      </c>
      <c r="D11" s="3" t="s">
        <v>278</v>
      </c>
      <c r="E11" s="3" t="s">
        <v>277</v>
      </c>
    </row>
    <row r="12" spans="1:16" x14ac:dyDescent="0.25">
      <c r="A12">
        <v>1</v>
      </c>
      <c r="B12" s="3" t="s">
        <v>276</v>
      </c>
      <c r="C12" s="3" t="s">
        <v>275</v>
      </c>
      <c r="D12" s="3" t="s">
        <v>274</v>
      </c>
      <c r="E12" s="3" t="s">
        <v>273</v>
      </c>
    </row>
    <row r="13" spans="1:16" x14ac:dyDescent="0.25">
      <c r="A13">
        <v>1</v>
      </c>
      <c r="B13" s="3" t="s">
        <v>272</v>
      </c>
      <c r="C13" s="3" t="s">
        <v>271</v>
      </c>
      <c r="D13" s="3" t="s">
        <v>270</v>
      </c>
      <c r="E13" s="3" t="s">
        <v>269</v>
      </c>
      <c r="F13" t="b">
        <v>1</v>
      </c>
    </row>
    <row r="14" spans="1:16" x14ac:dyDescent="0.25">
      <c r="A14">
        <v>1</v>
      </c>
      <c r="B14" s="3" t="s">
        <v>268</v>
      </c>
      <c r="C14" s="3" t="s">
        <v>267</v>
      </c>
      <c r="D14" s="3" t="s">
        <v>262</v>
      </c>
      <c r="E14" s="3" t="s">
        <v>266</v>
      </c>
      <c r="F14" t="b">
        <v>1</v>
      </c>
    </row>
    <row r="15" spans="1:16" x14ac:dyDescent="0.25">
      <c r="A15">
        <v>1</v>
      </c>
      <c r="B15" s="3" t="s">
        <v>62</v>
      </c>
      <c r="C15" s="3" t="s">
        <v>265</v>
      </c>
      <c r="D15" s="3" t="s">
        <v>262</v>
      </c>
      <c r="E15" s="3" t="s">
        <v>264</v>
      </c>
      <c r="F15" t="b">
        <v>1</v>
      </c>
    </row>
    <row r="16" spans="1:16" x14ac:dyDescent="0.25">
      <c r="A16">
        <v>1</v>
      </c>
      <c r="B16" s="3" t="s">
        <v>63</v>
      </c>
      <c r="C16" s="3" t="s">
        <v>263</v>
      </c>
      <c r="D16" s="3" t="s">
        <v>262</v>
      </c>
      <c r="E16" s="3" t="s">
        <v>261</v>
      </c>
      <c r="F16" t="b">
        <v>1</v>
      </c>
    </row>
    <row r="17" spans="1:6" x14ac:dyDescent="0.25">
      <c r="A17">
        <v>1</v>
      </c>
      <c r="B17" s="3" t="s">
        <v>260</v>
      </c>
      <c r="C17" s="3" t="s">
        <v>259</v>
      </c>
      <c r="D17" s="3" t="s">
        <v>108</v>
      </c>
      <c r="E17" s="3" t="s">
        <v>258</v>
      </c>
      <c r="F17" t="b">
        <v>1</v>
      </c>
    </row>
    <row r="18" spans="1:6" x14ac:dyDescent="0.25">
      <c r="A18">
        <v>1</v>
      </c>
      <c r="B18" s="3" t="s">
        <v>130</v>
      </c>
      <c r="C18" s="3" t="s">
        <v>128</v>
      </c>
      <c r="D18" s="3" t="s">
        <v>129</v>
      </c>
      <c r="E18" s="3" t="s">
        <v>257</v>
      </c>
    </row>
    <row r="19" spans="1:6" x14ac:dyDescent="0.25">
      <c r="A19">
        <v>2</v>
      </c>
      <c r="B19" s="3" t="s">
        <v>256</v>
      </c>
      <c r="C19" s="3" t="s">
        <v>67</v>
      </c>
      <c r="D19" s="3" t="s">
        <v>68</v>
      </c>
      <c r="E19" s="3" t="s">
        <v>65</v>
      </c>
      <c r="F19" t="b">
        <v>1</v>
      </c>
    </row>
    <row r="20" spans="1:6" x14ac:dyDescent="0.25">
      <c r="A20">
        <v>1</v>
      </c>
      <c r="B20" s="3" t="s">
        <v>255</v>
      </c>
      <c r="C20" s="3" t="s">
        <v>254</v>
      </c>
      <c r="D20" s="3"/>
      <c r="E20" s="3"/>
    </row>
    <row r="21" spans="1:6" x14ac:dyDescent="0.25">
      <c r="A21">
        <v>2</v>
      </c>
      <c r="B21" s="3" t="s">
        <v>253</v>
      </c>
      <c r="C21" s="3" t="s">
        <v>252</v>
      </c>
      <c r="D21" s="3"/>
      <c r="E21" s="3"/>
    </row>
    <row r="22" spans="1:6" x14ac:dyDescent="0.25">
      <c r="A22">
        <v>2</v>
      </c>
      <c r="B22" s="3" t="s">
        <v>251</v>
      </c>
      <c r="C22" s="3" t="s">
        <v>250</v>
      </c>
      <c r="D22" s="3"/>
      <c r="E22" s="3"/>
    </row>
    <row r="23" spans="1:6" x14ac:dyDescent="0.25">
      <c r="A23">
        <v>5</v>
      </c>
      <c r="B23" s="3" t="s">
        <v>249</v>
      </c>
      <c r="C23" s="3" t="s">
        <v>95</v>
      </c>
      <c r="D23" s="3"/>
      <c r="E23" s="3"/>
    </row>
    <row r="24" spans="1:6" x14ac:dyDescent="0.25">
      <c r="A24">
        <v>3</v>
      </c>
      <c r="B24" s="3" t="s">
        <v>248</v>
      </c>
      <c r="C24" s="3" t="s">
        <v>91</v>
      </c>
      <c r="D24" s="3"/>
      <c r="E24" s="3"/>
    </row>
    <row r="25" spans="1:6" x14ac:dyDescent="0.25">
      <c r="A25">
        <v>1</v>
      </c>
      <c r="B25" s="3" t="s">
        <v>247</v>
      </c>
      <c r="C25" s="3" t="s">
        <v>99</v>
      </c>
      <c r="D25" s="3"/>
      <c r="E25" s="3"/>
    </row>
    <row r="26" spans="1:6" x14ac:dyDescent="0.25">
      <c r="A26">
        <v>3</v>
      </c>
      <c r="B26" s="3" t="s">
        <v>246</v>
      </c>
      <c r="C26" s="3" t="s">
        <v>79</v>
      </c>
      <c r="D26" s="3"/>
      <c r="E26" s="3"/>
    </row>
    <row r="27" spans="1:6" x14ac:dyDescent="0.25">
      <c r="A27">
        <v>11</v>
      </c>
      <c r="B27" s="3" t="s">
        <v>245</v>
      </c>
      <c r="C27" s="3" t="s">
        <v>244</v>
      </c>
      <c r="D27" s="3"/>
      <c r="E27" s="3"/>
    </row>
    <row r="28" spans="1:6" x14ac:dyDescent="0.25">
      <c r="A28">
        <v>1</v>
      </c>
      <c r="B28" s="3" t="s">
        <v>243</v>
      </c>
      <c r="C28" s="3" t="s">
        <v>242</v>
      </c>
      <c r="D28" s="3"/>
      <c r="E28" s="3"/>
    </row>
    <row r="29" spans="1:6" x14ac:dyDescent="0.25">
      <c r="A29">
        <v>1</v>
      </c>
      <c r="B29" s="3" t="s">
        <v>241</v>
      </c>
      <c r="C29" s="3" t="s">
        <v>240</v>
      </c>
      <c r="D29" s="3"/>
      <c r="E29" s="3"/>
    </row>
    <row r="30" spans="1:6" x14ac:dyDescent="0.25">
      <c r="A30">
        <v>1</v>
      </c>
      <c r="B30" s="3" t="s">
        <v>239</v>
      </c>
      <c r="C30" s="3" t="s">
        <v>238</v>
      </c>
      <c r="D30" s="3"/>
      <c r="E30" s="3"/>
    </row>
    <row r="31" spans="1:6" x14ac:dyDescent="0.25">
      <c r="A31">
        <v>3</v>
      </c>
      <c r="B31" s="3" t="s">
        <v>237</v>
      </c>
      <c r="C31" s="3" t="s">
        <v>86</v>
      </c>
      <c r="D31" s="3"/>
      <c r="E31" s="3"/>
    </row>
    <row r="32" spans="1:6" x14ac:dyDescent="0.25">
      <c r="A32">
        <v>2</v>
      </c>
      <c r="B32" s="3" t="s">
        <v>236</v>
      </c>
      <c r="C32" s="3" t="s">
        <v>75</v>
      </c>
      <c r="D32" s="3"/>
      <c r="E32" s="3"/>
    </row>
    <row r="33" spans="1:9" x14ac:dyDescent="0.25">
      <c r="A33">
        <v>1</v>
      </c>
      <c r="B33" s="3" t="s">
        <v>235</v>
      </c>
      <c r="C33" s="3" t="s">
        <v>234</v>
      </c>
      <c r="D33" s="3"/>
      <c r="E33" s="3"/>
    </row>
    <row r="34" spans="1:9" x14ac:dyDescent="0.25">
      <c r="A34">
        <v>1</v>
      </c>
      <c r="B34" s="3" t="s">
        <v>233</v>
      </c>
      <c r="C34" s="3" t="s">
        <v>232</v>
      </c>
      <c r="D34" s="3"/>
      <c r="E34" s="3"/>
    </row>
    <row r="35" spans="1:9" x14ac:dyDescent="0.25">
      <c r="A35">
        <v>2</v>
      </c>
      <c r="B35" s="3" t="s">
        <v>231</v>
      </c>
      <c r="C35" s="3" t="s">
        <v>230</v>
      </c>
      <c r="D35" s="3"/>
      <c r="E35" s="3"/>
    </row>
    <row r="36" spans="1:9" x14ac:dyDescent="0.25">
      <c r="A36">
        <v>1</v>
      </c>
      <c r="B36" s="3" t="s">
        <v>229</v>
      </c>
      <c r="C36" s="3" t="s">
        <v>228</v>
      </c>
      <c r="D36" s="3"/>
      <c r="E36" s="3"/>
    </row>
    <row r="37" spans="1:9" x14ac:dyDescent="0.25">
      <c r="A37">
        <v>1</v>
      </c>
      <c r="B37" s="3" t="s">
        <v>227</v>
      </c>
      <c r="C37" s="3" t="s">
        <v>226</v>
      </c>
      <c r="D37" s="3"/>
      <c r="E37" s="3"/>
    </row>
    <row r="38" spans="1:9" x14ac:dyDescent="0.25">
      <c r="A38">
        <v>11</v>
      </c>
      <c r="B38" s="3" t="s">
        <v>225</v>
      </c>
      <c r="C38" s="3" t="s">
        <v>224</v>
      </c>
      <c r="D38" s="3"/>
      <c r="E38" s="3"/>
    </row>
    <row r="39" spans="1:9" x14ac:dyDescent="0.25">
      <c r="A39">
        <v>1</v>
      </c>
      <c r="B39" s="3" t="s">
        <v>223</v>
      </c>
      <c r="C39" s="3" t="s">
        <v>222</v>
      </c>
      <c r="D39" s="3"/>
      <c r="E39" s="3"/>
    </row>
    <row r="40" spans="1:9" x14ac:dyDescent="0.25">
      <c r="A40">
        <v>2</v>
      </c>
      <c r="B40" s="3" t="s">
        <v>221</v>
      </c>
      <c r="C40" s="3" t="s">
        <v>220</v>
      </c>
      <c r="D40" s="3"/>
      <c r="E40" s="3"/>
    </row>
    <row r="41" spans="1:9" x14ac:dyDescent="0.25">
      <c r="A41">
        <v>1</v>
      </c>
      <c r="B41" s="3" t="s">
        <v>219</v>
      </c>
      <c r="C41" s="3" t="s">
        <v>218</v>
      </c>
      <c r="D41" s="3"/>
      <c r="E41" s="3"/>
    </row>
    <row r="42" spans="1:9" x14ac:dyDescent="0.25">
      <c r="A42">
        <v>1</v>
      </c>
      <c r="B42" s="3" t="s">
        <v>87</v>
      </c>
      <c r="C42" s="3" t="s">
        <v>217</v>
      </c>
      <c r="D42" s="3"/>
      <c r="E42" s="3"/>
    </row>
    <row r="43" spans="1:9" x14ac:dyDescent="0.25">
      <c r="A43">
        <v>1</v>
      </c>
      <c r="B43" s="3" t="s">
        <v>216</v>
      </c>
      <c r="C43" s="3" t="s">
        <v>215</v>
      </c>
      <c r="D43" s="3"/>
      <c r="E43" s="3"/>
    </row>
    <row r="44" spans="1:9" x14ac:dyDescent="0.25">
      <c r="A44">
        <v>1</v>
      </c>
      <c r="B44" s="3" t="s">
        <v>214</v>
      </c>
      <c r="C44" s="3" t="s">
        <v>213</v>
      </c>
      <c r="D44" s="3" t="s">
        <v>211</v>
      </c>
      <c r="E44" s="3" t="s">
        <v>212</v>
      </c>
      <c r="H44" t="s">
        <v>211</v>
      </c>
      <c r="I44" t="s">
        <v>210</v>
      </c>
    </row>
    <row r="45" spans="1:9" x14ac:dyDescent="0.25">
      <c r="A45">
        <v>1</v>
      </c>
      <c r="B45" s="3" t="s">
        <v>209</v>
      </c>
      <c r="C45" s="3" t="s">
        <v>208</v>
      </c>
      <c r="D45" s="3" t="s">
        <v>158</v>
      </c>
      <c r="E45" s="3" t="s">
        <v>207</v>
      </c>
      <c r="F45" t="b">
        <v>1</v>
      </c>
    </row>
    <row r="46" spans="1:9" x14ac:dyDescent="0.25">
      <c r="A46">
        <v>1</v>
      </c>
      <c r="B46" s="3" t="s">
        <v>113</v>
      </c>
      <c r="C46" s="3" t="s">
        <v>206</v>
      </c>
      <c r="D46" s="3" t="s">
        <v>118</v>
      </c>
      <c r="E46" s="3" t="s">
        <v>205</v>
      </c>
      <c r="F46" t="b">
        <v>1</v>
      </c>
      <c r="H46" t="s">
        <v>118</v>
      </c>
      <c r="I46" t="s">
        <v>204</v>
      </c>
    </row>
    <row r="47" spans="1:9" x14ac:dyDescent="0.25">
      <c r="A47">
        <v>1</v>
      </c>
      <c r="B47" s="3" t="s">
        <v>203</v>
      </c>
      <c r="C47" s="3" t="s">
        <v>202</v>
      </c>
      <c r="D47" s="3" t="s">
        <v>200</v>
      </c>
      <c r="E47" s="3" t="s">
        <v>201</v>
      </c>
      <c r="F47" t="b">
        <v>1</v>
      </c>
      <c r="H47" t="s">
        <v>200</v>
      </c>
      <c r="I47" t="s">
        <v>199</v>
      </c>
    </row>
    <row r="48" spans="1:9" x14ac:dyDescent="0.25">
      <c r="A48">
        <v>1</v>
      </c>
      <c r="B48" s="3" t="s">
        <v>115</v>
      </c>
      <c r="C48" s="3" t="s">
        <v>198</v>
      </c>
      <c r="D48" s="3" t="s">
        <v>114</v>
      </c>
      <c r="E48" s="3" t="s">
        <v>197</v>
      </c>
      <c r="F48" t="b">
        <v>1</v>
      </c>
    </row>
    <row r="49" spans="1:9" x14ac:dyDescent="0.25">
      <c r="A49">
        <v>1</v>
      </c>
      <c r="B49" s="3" t="s">
        <v>196</v>
      </c>
      <c r="C49" s="3" t="s">
        <v>195</v>
      </c>
      <c r="D49" s="3" t="s">
        <v>120</v>
      </c>
      <c r="E49" s="3" t="s">
        <v>194</v>
      </c>
      <c r="F49" t="b">
        <v>1</v>
      </c>
    </row>
    <row r="50" spans="1:9" x14ac:dyDescent="0.25">
      <c r="A50">
        <v>1</v>
      </c>
      <c r="B50" s="3" t="s">
        <v>193</v>
      </c>
      <c r="C50" s="3" t="s">
        <v>192</v>
      </c>
      <c r="D50" s="3" t="s">
        <v>110</v>
      </c>
      <c r="E50" s="3" t="s">
        <v>191</v>
      </c>
      <c r="F50" t="b">
        <v>1</v>
      </c>
    </row>
    <row r="51" spans="1:9" x14ac:dyDescent="0.25">
      <c r="A51">
        <v>1</v>
      </c>
      <c r="B51" s="3" t="s">
        <v>116</v>
      </c>
      <c r="C51" s="3" t="s">
        <v>190</v>
      </c>
      <c r="D51" s="3" t="s">
        <v>158</v>
      </c>
      <c r="E51" s="3" t="s">
        <v>189</v>
      </c>
      <c r="F51" t="b">
        <v>1</v>
      </c>
    </row>
    <row r="52" spans="1:9" x14ac:dyDescent="0.25">
      <c r="A52">
        <v>1</v>
      </c>
      <c r="B52" s="3" t="s">
        <v>119</v>
      </c>
      <c r="C52" s="3" t="s">
        <v>188</v>
      </c>
      <c r="D52" s="3" t="s">
        <v>185</v>
      </c>
      <c r="E52" s="3" t="s">
        <v>187</v>
      </c>
      <c r="F52" t="b">
        <v>1</v>
      </c>
    </row>
    <row r="53" spans="1:9" x14ac:dyDescent="0.25">
      <c r="A53">
        <v>1</v>
      </c>
      <c r="B53" s="3" t="s">
        <v>123</v>
      </c>
      <c r="C53" s="3" t="s">
        <v>186</v>
      </c>
      <c r="D53" s="3" t="s">
        <v>185</v>
      </c>
      <c r="E53" s="3" t="s">
        <v>184</v>
      </c>
      <c r="F53" t="b">
        <v>1</v>
      </c>
    </row>
    <row r="54" spans="1:9" x14ac:dyDescent="0.25">
      <c r="A54">
        <v>1</v>
      </c>
      <c r="B54" s="3" t="s">
        <v>124</v>
      </c>
      <c r="C54" s="3" t="s">
        <v>183</v>
      </c>
      <c r="D54" s="3" t="s">
        <v>182</v>
      </c>
      <c r="E54" s="3" t="s">
        <v>181</v>
      </c>
      <c r="F54" t="b">
        <v>1</v>
      </c>
    </row>
    <row r="55" spans="1:9" x14ac:dyDescent="0.25">
      <c r="A55">
        <v>1</v>
      </c>
      <c r="B55" s="3" t="s">
        <v>126</v>
      </c>
      <c r="C55" s="3" t="s">
        <v>180</v>
      </c>
      <c r="D55" s="3" t="s">
        <v>121</v>
      </c>
      <c r="E55" s="3" t="s">
        <v>179</v>
      </c>
      <c r="F55" t="b">
        <v>1</v>
      </c>
    </row>
    <row r="56" spans="1:9" x14ac:dyDescent="0.25">
      <c r="A56">
        <v>1</v>
      </c>
      <c r="B56" s="3" t="s">
        <v>127</v>
      </c>
      <c r="C56" s="3" t="s">
        <v>178</v>
      </c>
      <c r="D56" s="3" t="s">
        <v>112</v>
      </c>
      <c r="E56" s="3" t="s">
        <v>177</v>
      </c>
      <c r="F56" t="b">
        <v>1</v>
      </c>
    </row>
    <row r="57" spans="1:9" x14ac:dyDescent="0.25">
      <c r="A57">
        <v>2</v>
      </c>
      <c r="B57" s="3" t="s">
        <v>176</v>
      </c>
      <c r="C57" s="3" t="s">
        <v>175</v>
      </c>
      <c r="D57" s="3" t="s">
        <v>114</v>
      </c>
      <c r="E57" s="3" t="s">
        <v>174</v>
      </c>
      <c r="F57" t="b">
        <v>1</v>
      </c>
    </row>
    <row r="58" spans="1:9" x14ac:dyDescent="0.25">
      <c r="A58">
        <v>1</v>
      </c>
      <c r="B58" s="3" t="s">
        <v>173</v>
      </c>
      <c r="C58" s="3" t="s">
        <v>172</v>
      </c>
      <c r="D58" s="3" t="s">
        <v>120</v>
      </c>
      <c r="E58" s="3" t="s">
        <v>171</v>
      </c>
      <c r="F58" t="b">
        <v>1</v>
      </c>
      <c r="H58" t="s">
        <v>120</v>
      </c>
      <c r="I58" t="s">
        <v>170</v>
      </c>
    </row>
    <row r="59" spans="1:9" x14ac:dyDescent="0.25">
      <c r="A59">
        <v>1</v>
      </c>
      <c r="B59" s="3" t="s">
        <v>169</v>
      </c>
      <c r="C59" s="3" t="s">
        <v>168</v>
      </c>
      <c r="D59" s="3" t="s">
        <v>61</v>
      </c>
      <c r="E59" s="3" t="s">
        <v>167</v>
      </c>
      <c r="F59" t="b">
        <v>1</v>
      </c>
    </row>
    <row r="60" spans="1:9" x14ac:dyDescent="0.25">
      <c r="A60">
        <v>1</v>
      </c>
      <c r="B60" s="3" t="s">
        <v>166</v>
      </c>
      <c r="C60" s="3" t="s">
        <v>165</v>
      </c>
      <c r="D60" s="3" t="s">
        <v>68</v>
      </c>
      <c r="E60" s="3" t="s">
        <v>164</v>
      </c>
      <c r="F60" t="b">
        <v>1</v>
      </c>
    </row>
    <row r="61" spans="1:9" x14ac:dyDescent="0.25">
      <c r="A61">
        <v>1</v>
      </c>
      <c r="B61" s="3" t="s">
        <v>163</v>
      </c>
      <c r="C61" s="3" t="s">
        <v>162</v>
      </c>
      <c r="D61" s="3" t="s">
        <v>125</v>
      </c>
      <c r="E61" s="3" t="s">
        <v>161</v>
      </c>
      <c r="F61" t="b">
        <v>1</v>
      </c>
    </row>
    <row r="62" spans="1:9" x14ac:dyDescent="0.25">
      <c r="A62">
        <v>1</v>
      </c>
      <c r="B62" s="3" t="s">
        <v>160</v>
      </c>
      <c r="C62" s="3" t="s">
        <v>159</v>
      </c>
      <c r="D62" s="3" t="s">
        <v>158</v>
      </c>
      <c r="E62" s="3" t="s">
        <v>157</v>
      </c>
      <c r="F62" t="b">
        <v>1</v>
      </c>
    </row>
    <row r="63" spans="1:9" x14ac:dyDescent="0.25">
      <c r="A63">
        <v>1</v>
      </c>
      <c r="B63" s="3" t="s">
        <v>156</v>
      </c>
      <c r="C63" s="3" t="s">
        <v>155</v>
      </c>
      <c r="D63" s="3" t="s">
        <v>68</v>
      </c>
      <c r="E63" s="3" t="s">
        <v>154</v>
      </c>
      <c r="F63" t="b">
        <v>1</v>
      </c>
    </row>
    <row r="64" spans="1:9" x14ac:dyDescent="0.25">
      <c r="B64" s="3"/>
      <c r="C64" s="3"/>
      <c r="D64" s="3"/>
      <c r="E64" s="3"/>
    </row>
    <row r="65" spans="2:5" x14ac:dyDescent="0.25">
      <c r="B65" s="3"/>
      <c r="C65" s="3"/>
      <c r="D65" s="3"/>
      <c r="E65" s="3"/>
    </row>
    <row r="66" spans="2:5" x14ac:dyDescent="0.25">
      <c r="B66" s="3"/>
      <c r="C66" s="3"/>
      <c r="D66" s="3"/>
      <c r="E66" s="3"/>
    </row>
    <row r="67" spans="2:5" x14ac:dyDescent="0.25">
      <c r="B67" s="3"/>
      <c r="C67" s="3"/>
      <c r="D67" s="3"/>
      <c r="E67" s="3"/>
    </row>
    <row r="68" spans="2:5" x14ac:dyDescent="0.25">
      <c r="B68" s="3"/>
      <c r="C68" s="3"/>
      <c r="D68" s="3"/>
      <c r="E68" s="3"/>
    </row>
    <row r="69" spans="2:5" x14ac:dyDescent="0.25">
      <c r="B69" s="3"/>
      <c r="C69" s="3"/>
    </row>
    <row r="70" spans="2:5" x14ac:dyDescent="0.25">
      <c r="B70" s="3"/>
      <c r="C70" s="3"/>
    </row>
    <row r="71" spans="2:5" x14ac:dyDescent="0.25">
      <c r="B71" s="3"/>
      <c r="C71" s="3"/>
    </row>
    <row r="72" spans="2:5" x14ac:dyDescent="0.25">
      <c r="B72" s="3"/>
      <c r="C72" s="3"/>
      <c r="D72" s="3"/>
      <c r="E72" s="3"/>
    </row>
    <row r="73" spans="2:5" x14ac:dyDescent="0.25">
      <c r="B73" s="3"/>
      <c r="C73" s="3"/>
      <c r="D73" s="3"/>
      <c r="E73" s="3"/>
    </row>
    <row r="74" spans="2:5" x14ac:dyDescent="0.25">
      <c r="B74" s="3"/>
      <c r="C74" s="3"/>
      <c r="D74" s="3"/>
      <c r="E74" s="3"/>
    </row>
    <row r="75" spans="2:5" x14ac:dyDescent="0.25">
      <c r="B75" s="3"/>
      <c r="C75" s="3"/>
      <c r="D75" s="3"/>
      <c r="E75" s="3"/>
    </row>
    <row r="76" spans="2:5" x14ac:dyDescent="0.25">
      <c r="B76" s="3"/>
      <c r="C76" s="3"/>
    </row>
    <row r="77" spans="2:5" x14ac:dyDescent="0.25">
      <c r="B77" s="3"/>
      <c r="C77" s="3"/>
    </row>
    <row r="78" spans="2:5" x14ac:dyDescent="0.25">
      <c r="B78" s="3"/>
      <c r="C78" s="3"/>
    </row>
    <row r="79" spans="2:5" x14ac:dyDescent="0.25">
      <c r="B79" s="3"/>
      <c r="C79" s="3"/>
    </row>
    <row r="80" spans="2:5" x14ac:dyDescent="0.25">
      <c r="B80" s="3"/>
      <c r="C80" s="3"/>
      <c r="D80" s="3"/>
      <c r="E80" s="3"/>
    </row>
    <row r="81" spans="2:5" x14ac:dyDescent="0.25">
      <c r="B81" s="3"/>
      <c r="C81" s="3"/>
    </row>
    <row r="82" spans="2:5" x14ac:dyDescent="0.25">
      <c r="B82" s="3"/>
      <c r="C82" s="3"/>
      <c r="D82" s="3"/>
      <c r="E82" s="3"/>
    </row>
    <row r="83" spans="2:5" x14ac:dyDescent="0.25">
      <c r="B83" s="3"/>
      <c r="C83" s="3"/>
      <c r="D83" s="3"/>
      <c r="E83" s="3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6DEBF-A686-4B4C-AFED-FD964F5A5DDA}">
  <sheetPr codeName="Sheet1">
    <pageSetUpPr fitToPage="1"/>
  </sheetPr>
  <dimension ref="A1:AE570"/>
  <sheetViews>
    <sheetView tabSelected="1" topLeftCell="C1" zoomScale="80" zoomScaleNormal="80" workbookViewId="0">
      <pane ySplit="4" topLeftCell="A5" activePane="bottomLeft" state="frozen"/>
      <selection pane="bottomLeft" activeCell="F6" sqref="F6"/>
    </sheetView>
  </sheetViews>
  <sheetFormatPr defaultColWidth="8.7109375" defaultRowHeight="12.75" x14ac:dyDescent="0.2"/>
  <cols>
    <col min="1" max="1" width="6.7109375" style="8" customWidth="1"/>
    <col min="2" max="2" width="40.5703125" style="10" customWidth="1"/>
    <col min="3" max="3" width="9.5703125" style="9" customWidth="1"/>
    <col min="4" max="4" width="9.7109375" style="8" customWidth="1"/>
    <col min="5" max="5" width="9.7109375" style="8" hidden="1" customWidth="1"/>
    <col min="6" max="6" width="40.42578125" style="8" bestFit="1" customWidth="1"/>
    <col min="7" max="7" width="17.85546875" style="8" customWidth="1"/>
    <col min="8" max="8" width="30.42578125" style="8" customWidth="1"/>
    <col min="9" max="9" width="18" style="8" customWidth="1"/>
    <col min="10" max="10" width="19.28515625" style="8" hidden="1" customWidth="1"/>
    <col min="11" max="11" width="32" style="8" customWidth="1"/>
    <col min="12" max="12" width="16.140625" style="8" hidden="1" customWidth="1"/>
    <col min="13" max="13" width="17" style="8" hidden="1" customWidth="1"/>
    <col min="14" max="14" width="14.85546875" style="9" hidden="1" customWidth="1"/>
    <col min="15" max="15" width="12.85546875" style="8" hidden="1" customWidth="1"/>
    <col min="16" max="16" width="13.5703125" style="8" hidden="1" customWidth="1"/>
    <col min="17" max="19" width="8.7109375" style="8" customWidth="1"/>
    <col min="20" max="20" width="8.7109375" style="8" bestFit="1" customWidth="1"/>
    <col min="21" max="21" width="8.7109375" style="8" customWidth="1"/>
    <col min="22" max="22" width="53" style="8" customWidth="1"/>
    <col min="23" max="23" width="60.140625" style="8" customWidth="1"/>
    <col min="24" max="24" width="38.140625" style="8" bestFit="1" customWidth="1"/>
    <col min="25" max="25" width="24.5703125" style="8" bestFit="1" customWidth="1"/>
    <col min="26" max="26" width="18.140625" style="8" bestFit="1" customWidth="1"/>
    <col min="27" max="27" width="9.140625" style="8" customWidth="1"/>
    <col min="28" max="28" width="17.42578125" style="8" bestFit="1" customWidth="1"/>
    <col min="29" max="29" width="26.28515625" style="8" bestFit="1" customWidth="1"/>
    <col min="30" max="30" width="15" style="8" bestFit="1" customWidth="1"/>
    <col min="31" max="31" width="26.28515625" style="8" bestFit="1" customWidth="1"/>
    <col min="32" max="16384" width="8.7109375" style="8"/>
  </cols>
  <sheetData>
    <row r="1" spans="1:31" ht="15.75" thickTop="1" x14ac:dyDescent="0.25">
      <c r="C1" s="47"/>
      <c r="D1" s="46"/>
      <c r="E1" s="46"/>
      <c r="F1" s="44"/>
      <c r="G1" s="44"/>
      <c r="H1" s="44"/>
      <c r="I1" s="44"/>
      <c r="J1" s="44"/>
      <c r="K1" s="55" t="s">
        <v>0</v>
      </c>
      <c r="L1" s="55" t="s">
        <v>1</v>
      </c>
      <c r="M1" s="55" t="s">
        <v>2</v>
      </c>
      <c r="N1" s="55" t="s">
        <v>3</v>
      </c>
    </row>
    <row r="2" spans="1:31" ht="21" thickBot="1" x14ac:dyDescent="0.35">
      <c r="B2" s="54" t="e">
        <f>CONCATENATE("Assembly: ",#REF!)</f>
        <v>#REF!</v>
      </c>
      <c r="C2" s="53"/>
      <c r="D2" s="52"/>
      <c r="E2" s="52"/>
      <c r="F2" s="51"/>
      <c r="G2" s="51"/>
      <c r="H2" s="51"/>
      <c r="I2" s="51" t="s">
        <v>431</v>
      </c>
      <c r="J2" s="50" t="str">
        <f>'[2]HALO-3C,S BOMR (TURNKEY ALL)'!J2</f>
        <v>10/5/22 SL</v>
      </c>
      <c r="K2" s="49" t="e">
        <f>#REF!</f>
        <v>#REF!</v>
      </c>
      <c r="L2" s="49" t="e">
        <f>#REF!</f>
        <v>#REF!</v>
      </c>
      <c r="M2" s="49" t="e">
        <f>#REF!</f>
        <v>#REF!</v>
      </c>
      <c r="N2" s="49" t="e">
        <f>#REF!</f>
        <v>#REF!</v>
      </c>
      <c r="O2" s="48"/>
    </row>
    <row r="3" spans="1:31" ht="27" thickTop="1" thickBot="1" x14ac:dyDescent="0.4">
      <c r="B3" s="10" t="e">
        <f>#REF!</f>
        <v>#REF!</v>
      </c>
      <c r="C3" s="47"/>
      <c r="D3" s="46"/>
      <c r="E3" s="46"/>
      <c r="F3" s="45" t="s">
        <v>4</v>
      </c>
      <c r="G3" s="45"/>
      <c r="H3" s="44"/>
      <c r="I3" s="44"/>
      <c r="J3" s="44"/>
      <c r="K3" s="44"/>
      <c r="L3" s="42"/>
      <c r="M3" s="43" t="s">
        <v>5</v>
      </c>
      <c r="N3" s="42"/>
      <c r="P3" s="41" t="s">
        <v>6</v>
      </c>
    </row>
    <row r="4" spans="1:31" ht="15.75" x14ac:dyDescent="0.2">
      <c r="A4" s="40" t="s">
        <v>7</v>
      </c>
      <c r="B4" s="39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H4" s="38" t="s">
        <v>14</v>
      </c>
      <c r="I4" s="38" t="s">
        <v>15</v>
      </c>
      <c r="J4" s="38" t="s">
        <v>16</v>
      </c>
      <c r="K4" s="37" t="s">
        <v>17</v>
      </c>
      <c r="L4" s="36" t="s">
        <v>18</v>
      </c>
      <c r="M4" s="35" t="s">
        <v>19</v>
      </c>
      <c r="N4" s="35" t="s">
        <v>20</v>
      </c>
      <c r="O4" s="34" t="s">
        <v>21</v>
      </c>
      <c r="T4" s="74" t="s">
        <v>22</v>
      </c>
      <c r="U4" s="74"/>
      <c r="V4" s="74" t="s">
        <v>23</v>
      </c>
      <c r="W4" s="74" t="s">
        <v>24</v>
      </c>
      <c r="X4" s="74" t="s">
        <v>25</v>
      </c>
      <c r="Y4" s="74" t="s">
        <v>26</v>
      </c>
      <c r="Z4" s="74" t="s">
        <v>132</v>
      </c>
      <c r="AA4" s="74" t="s">
        <v>131</v>
      </c>
      <c r="AB4" s="74" t="s">
        <v>27</v>
      </c>
      <c r="AC4" s="74" t="s">
        <v>28</v>
      </c>
      <c r="AD4" s="74" t="s">
        <v>29</v>
      </c>
      <c r="AE4" s="74" t="s">
        <v>30</v>
      </c>
    </row>
    <row r="5" spans="1:31" ht="26.25" x14ac:dyDescent="0.25">
      <c r="A5" s="31">
        <v>1</v>
      </c>
      <c r="B5" s="30" t="s">
        <v>295</v>
      </c>
      <c r="C5" s="29">
        <v>1</v>
      </c>
      <c r="D5" s="29" t="s">
        <v>35</v>
      </c>
      <c r="E5" s="29"/>
      <c r="F5" s="28" t="s">
        <v>430</v>
      </c>
      <c r="G5" s="28" t="s">
        <v>107</v>
      </c>
      <c r="H5" s="1" t="s">
        <v>293</v>
      </c>
      <c r="I5" s="1" t="s">
        <v>429</v>
      </c>
      <c r="J5" s="27"/>
      <c r="K5" s="26"/>
      <c r="L5" s="25" t="e">
        <f t="shared" ref="L5:L36" si="0">+$L$2*C5</f>
        <v>#REF!</v>
      </c>
      <c r="M5" s="24"/>
      <c r="N5" s="23" t="e">
        <f t="shared" ref="N5:N36" si="1">IF((L5-M5)&gt;0,-(L5-M5),0)</f>
        <v>#REF!</v>
      </c>
      <c r="O5" s="22" t="e">
        <f t="shared" ref="O5:O36" si="2">IF((M5-N5)&gt;0,-(L5-(M5-N5)),0)</f>
        <v>#REF!</v>
      </c>
      <c r="S5" s="8" t="b">
        <f t="shared" ref="S5:S36" si="3">T5=C5</f>
        <v>1</v>
      </c>
      <c r="T5" s="8">
        <v>1</v>
      </c>
      <c r="U5" s="8" t="b">
        <f t="shared" ref="U5:U36" si="4">V5=B5</f>
        <v>1</v>
      </c>
      <c r="V5" s="67" t="s">
        <v>295</v>
      </c>
      <c r="W5" s="67" t="s">
        <v>294</v>
      </c>
      <c r="X5" s="66" t="s">
        <v>107</v>
      </c>
      <c r="Y5" s="66" t="s">
        <v>293</v>
      </c>
      <c r="Z5" s="8" t="b">
        <v>1</v>
      </c>
    </row>
    <row r="6" spans="1:31" s="11" customFormat="1" ht="64.5" x14ac:dyDescent="0.25">
      <c r="A6" s="31">
        <v>2</v>
      </c>
      <c r="B6" s="30" t="s">
        <v>292</v>
      </c>
      <c r="C6" s="29">
        <v>29</v>
      </c>
      <c r="D6" s="29" t="s">
        <v>35</v>
      </c>
      <c r="E6" s="29"/>
      <c r="F6" s="28" t="s">
        <v>36</v>
      </c>
      <c r="G6" s="28" t="s">
        <v>37</v>
      </c>
      <c r="H6" s="1" t="s">
        <v>38</v>
      </c>
      <c r="I6" s="1" t="s">
        <v>39</v>
      </c>
      <c r="J6" s="27"/>
      <c r="K6" s="73" t="s">
        <v>428</v>
      </c>
      <c r="L6" s="25" t="e">
        <f t="shared" si="0"/>
        <v>#REF!</v>
      </c>
      <c r="M6" s="24"/>
      <c r="N6" s="23" t="e">
        <f t="shared" si="1"/>
        <v>#REF!</v>
      </c>
      <c r="O6" s="22" t="e">
        <f t="shared" si="2"/>
        <v>#REF!</v>
      </c>
      <c r="P6" s="8"/>
      <c r="Q6" s="72"/>
      <c r="S6" s="8" t="b">
        <f t="shared" si="3"/>
        <v>1</v>
      </c>
      <c r="T6" s="8">
        <v>29</v>
      </c>
      <c r="U6" s="8" t="b">
        <f t="shared" si="4"/>
        <v>1</v>
      </c>
      <c r="V6" s="67" t="s">
        <v>292</v>
      </c>
      <c r="W6" s="67" t="s">
        <v>40</v>
      </c>
      <c r="X6" s="66" t="s">
        <v>37</v>
      </c>
      <c r="Y6" s="66" t="s">
        <v>38</v>
      </c>
      <c r="Z6" s="8"/>
      <c r="AA6" s="8"/>
      <c r="AB6" s="8" t="s">
        <v>41</v>
      </c>
      <c r="AC6" s="8" t="s">
        <v>42</v>
      </c>
      <c r="AD6" s="8" t="s">
        <v>43</v>
      </c>
      <c r="AE6" s="8" t="s">
        <v>44</v>
      </c>
    </row>
    <row r="7" spans="1:31" s="11" customFormat="1" ht="15" x14ac:dyDescent="0.25">
      <c r="A7" s="31">
        <v>3</v>
      </c>
      <c r="B7" s="30" t="s">
        <v>291</v>
      </c>
      <c r="C7" s="29">
        <v>3</v>
      </c>
      <c r="D7" s="29" t="s">
        <v>35</v>
      </c>
      <c r="E7" s="29"/>
      <c r="F7" s="28" t="s">
        <v>57</v>
      </c>
      <c r="G7" s="28" t="s">
        <v>56</v>
      </c>
      <c r="H7" s="1" t="s">
        <v>58</v>
      </c>
      <c r="I7" s="1" t="s">
        <v>59</v>
      </c>
      <c r="J7" s="27"/>
      <c r="K7" s="26"/>
      <c r="L7" s="25" t="e">
        <f t="shared" si="0"/>
        <v>#REF!</v>
      </c>
      <c r="M7" s="24"/>
      <c r="N7" s="23" t="e">
        <f t="shared" si="1"/>
        <v>#REF!</v>
      </c>
      <c r="O7" s="22" t="e">
        <f t="shared" si="2"/>
        <v>#REF!</v>
      </c>
      <c r="P7" s="8"/>
      <c r="S7" s="8" t="b">
        <f t="shared" si="3"/>
        <v>1</v>
      </c>
      <c r="T7" s="8">
        <v>3</v>
      </c>
      <c r="U7" s="8" t="b">
        <f t="shared" si="4"/>
        <v>1</v>
      </c>
      <c r="V7" s="67" t="s">
        <v>291</v>
      </c>
      <c r="W7" s="67" t="s">
        <v>60</v>
      </c>
      <c r="X7" s="66" t="s">
        <v>56</v>
      </c>
      <c r="Y7" s="66" t="s">
        <v>58</v>
      </c>
      <c r="Z7" s="8"/>
      <c r="AA7" s="8"/>
      <c r="AB7" s="8"/>
      <c r="AC7" s="8"/>
      <c r="AD7" s="8"/>
      <c r="AE7" s="8"/>
    </row>
    <row r="8" spans="1:31" s="11" customFormat="1" ht="15" x14ac:dyDescent="0.25">
      <c r="A8" s="31">
        <v>4</v>
      </c>
      <c r="B8" s="30" t="s">
        <v>290</v>
      </c>
      <c r="C8" s="29">
        <v>4</v>
      </c>
      <c r="D8" s="29" t="s">
        <v>35</v>
      </c>
      <c r="E8" s="29"/>
      <c r="F8" s="28" t="s">
        <v>45</v>
      </c>
      <c r="G8" s="28" t="s">
        <v>46</v>
      </c>
      <c r="H8" s="1" t="s">
        <v>47</v>
      </c>
      <c r="I8" s="1" t="s">
        <v>48</v>
      </c>
      <c r="J8" s="27"/>
      <c r="K8" s="26"/>
      <c r="L8" s="25" t="e">
        <f t="shared" si="0"/>
        <v>#REF!</v>
      </c>
      <c r="M8" s="24"/>
      <c r="N8" s="23" t="e">
        <f t="shared" si="1"/>
        <v>#REF!</v>
      </c>
      <c r="O8" s="22" t="e">
        <f t="shared" si="2"/>
        <v>#REF!</v>
      </c>
      <c r="P8" s="8"/>
      <c r="S8" s="8" t="b">
        <f t="shared" si="3"/>
        <v>1</v>
      </c>
      <c r="T8" s="8">
        <v>4</v>
      </c>
      <c r="U8" s="8" t="b">
        <f t="shared" si="4"/>
        <v>1</v>
      </c>
      <c r="V8" s="67" t="s">
        <v>290</v>
      </c>
      <c r="W8" s="67" t="s">
        <v>49</v>
      </c>
      <c r="X8" s="66" t="s">
        <v>46</v>
      </c>
      <c r="Y8" s="66" t="s">
        <v>47</v>
      </c>
      <c r="Z8" s="8"/>
      <c r="AA8" s="8"/>
      <c r="AB8" s="8"/>
      <c r="AC8" s="8"/>
      <c r="AD8" s="8"/>
      <c r="AE8" s="8"/>
    </row>
    <row r="9" spans="1:31" s="11" customFormat="1" ht="26.25" x14ac:dyDescent="0.25">
      <c r="A9" s="31">
        <v>5</v>
      </c>
      <c r="B9" s="30" t="s">
        <v>289</v>
      </c>
      <c r="C9" s="29">
        <v>6</v>
      </c>
      <c r="D9" s="29" t="s">
        <v>35</v>
      </c>
      <c r="E9" s="29"/>
      <c r="F9" s="28" t="s">
        <v>50</v>
      </c>
      <c r="G9" s="28" t="s">
        <v>41</v>
      </c>
      <c r="H9" s="1" t="s">
        <v>51</v>
      </c>
      <c r="I9" s="1" t="s">
        <v>52</v>
      </c>
      <c r="J9" s="27"/>
      <c r="K9" s="33" t="s">
        <v>427</v>
      </c>
      <c r="L9" s="25" t="e">
        <f t="shared" si="0"/>
        <v>#REF!</v>
      </c>
      <c r="M9" s="24"/>
      <c r="N9" s="23" t="e">
        <f t="shared" si="1"/>
        <v>#REF!</v>
      </c>
      <c r="O9" s="22" t="e">
        <f t="shared" si="2"/>
        <v>#REF!</v>
      </c>
      <c r="P9" s="8"/>
      <c r="S9" s="8" t="b">
        <f t="shared" si="3"/>
        <v>1</v>
      </c>
      <c r="T9" s="8">
        <v>6</v>
      </c>
      <c r="U9" s="8" t="b">
        <f t="shared" si="4"/>
        <v>1</v>
      </c>
      <c r="V9" s="67" t="s">
        <v>289</v>
      </c>
      <c r="W9" s="67" t="s">
        <v>53</v>
      </c>
      <c r="X9" s="66" t="s">
        <v>37</v>
      </c>
      <c r="Y9" s="66" t="s">
        <v>51</v>
      </c>
      <c r="Z9" s="8"/>
      <c r="AA9" s="8"/>
      <c r="AB9" s="8"/>
      <c r="AC9" s="8"/>
      <c r="AD9" s="8"/>
      <c r="AE9" s="8"/>
    </row>
    <row r="10" spans="1:31" s="11" customFormat="1" ht="26.25" x14ac:dyDescent="0.25">
      <c r="A10" s="31">
        <v>6</v>
      </c>
      <c r="B10" s="30" t="s">
        <v>288</v>
      </c>
      <c r="C10" s="29">
        <v>2</v>
      </c>
      <c r="D10" s="29" t="s">
        <v>35</v>
      </c>
      <c r="E10" s="29"/>
      <c r="F10" s="28" t="s">
        <v>50</v>
      </c>
      <c r="G10" s="28" t="s">
        <v>41</v>
      </c>
      <c r="H10" s="1" t="s">
        <v>51</v>
      </c>
      <c r="I10" s="1" t="s">
        <v>52</v>
      </c>
      <c r="J10" s="27"/>
      <c r="K10" s="33" t="s">
        <v>426</v>
      </c>
      <c r="L10" s="25" t="e">
        <f t="shared" si="0"/>
        <v>#REF!</v>
      </c>
      <c r="M10" s="24"/>
      <c r="N10" s="23" t="e">
        <f t="shared" si="1"/>
        <v>#REF!</v>
      </c>
      <c r="O10" s="22" t="e">
        <f t="shared" si="2"/>
        <v>#REF!</v>
      </c>
      <c r="P10" s="8"/>
      <c r="S10" s="8" t="b">
        <f t="shared" si="3"/>
        <v>1</v>
      </c>
      <c r="T10" s="8">
        <v>2</v>
      </c>
      <c r="U10" s="8" t="b">
        <f t="shared" si="4"/>
        <v>1</v>
      </c>
      <c r="V10" s="67" t="s">
        <v>288</v>
      </c>
      <c r="W10" s="67" t="s">
        <v>53</v>
      </c>
      <c r="X10" s="66" t="s">
        <v>37</v>
      </c>
      <c r="Y10" s="66" t="s">
        <v>51</v>
      </c>
      <c r="Z10" s="8"/>
      <c r="AA10" s="8"/>
      <c r="AB10" s="8"/>
      <c r="AC10" s="8"/>
      <c r="AD10" s="8"/>
      <c r="AE10" s="8"/>
    </row>
    <row r="11" spans="1:31" s="11" customFormat="1" ht="26.25" x14ac:dyDescent="0.25">
      <c r="A11" s="31">
        <v>7</v>
      </c>
      <c r="B11" s="30" t="s">
        <v>287</v>
      </c>
      <c r="C11" s="29">
        <v>2</v>
      </c>
      <c r="D11" s="29" t="s">
        <v>35</v>
      </c>
      <c r="E11" s="29"/>
      <c r="F11" s="28" t="s">
        <v>425</v>
      </c>
      <c r="G11" s="28" t="s">
        <v>285</v>
      </c>
      <c r="H11" s="1" t="s">
        <v>284</v>
      </c>
      <c r="I11" s="1" t="s">
        <v>424</v>
      </c>
      <c r="J11" s="27"/>
      <c r="K11" s="26"/>
      <c r="L11" s="25" t="e">
        <f t="shared" si="0"/>
        <v>#REF!</v>
      </c>
      <c r="M11" s="24"/>
      <c r="N11" s="23" t="e">
        <f t="shared" si="1"/>
        <v>#REF!</v>
      </c>
      <c r="O11" s="22" t="e">
        <f t="shared" si="2"/>
        <v>#REF!</v>
      </c>
      <c r="P11" s="8"/>
      <c r="S11" s="8" t="b">
        <f t="shared" si="3"/>
        <v>1</v>
      </c>
      <c r="T11" s="8">
        <v>2</v>
      </c>
      <c r="U11" s="8" t="b">
        <f t="shared" si="4"/>
        <v>1</v>
      </c>
      <c r="V11" s="67" t="s">
        <v>287</v>
      </c>
      <c r="W11" s="67" t="s">
        <v>286</v>
      </c>
      <c r="X11" s="66" t="s">
        <v>285</v>
      </c>
      <c r="Y11" s="66" t="s">
        <v>284</v>
      </c>
      <c r="Z11" s="8"/>
      <c r="AA11" s="8"/>
      <c r="AB11" s="8"/>
      <c r="AC11" s="8"/>
      <c r="AD11" s="8"/>
      <c r="AE11" s="8"/>
    </row>
    <row r="12" spans="1:31" s="11" customFormat="1" ht="15" x14ac:dyDescent="0.25">
      <c r="A12" s="31">
        <v>8</v>
      </c>
      <c r="B12" s="30" t="s">
        <v>283</v>
      </c>
      <c r="C12" s="29">
        <v>2</v>
      </c>
      <c r="D12" s="29" t="s">
        <v>35</v>
      </c>
      <c r="E12" s="29"/>
      <c r="F12" s="28" t="s">
        <v>282</v>
      </c>
      <c r="G12" s="28"/>
      <c r="H12" s="1" t="s">
        <v>281</v>
      </c>
      <c r="I12" s="1" t="s">
        <v>423</v>
      </c>
      <c r="J12" s="27"/>
      <c r="K12" s="26"/>
      <c r="L12" s="25" t="e">
        <f t="shared" si="0"/>
        <v>#REF!</v>
      </c>
      <c r="M12" s="24"/>
      <c r="N12" s="23" t="e">
        <f t="shared" si="1"/>
        <v>#REF!</v>
      </c>
      <c r="O12" s="22" t="e">
        <f t="shared" si="2"/>
        <v>#REF!</v>
      </c>
      <c r="P12" s="8"/>
      <c r="S12" s="8" t="b">
        <f t="shared" si="3"/>
        <v>1</v>
      </c>
      <c r="T12" s="8">
        <v>2</v>
      </c>
      <c r="U12" s="8" t="b">
        <f t="shared" si="4"/>
        <v>1</v>
      </c>
      <c r="V12" s="67" t="s">
        <v>283</v>
      </c>
      <c r="W12" s="67" t="s">
        <v>282</v>
      </c>
      <c r="X12" s="66" t="s">
        <v>56</v>
      </c>
      <c r="Y12" s="66" t="s">
        <v>281</v>
      </c>
      <c r="Z12" s="8"/>
      <c r="AA12" s="8"/>
      <c r="AB12" s="8"/>
      <c r="AC12" s="8"/>
      <c r="AD12" s="8"/>
      <c r="AE12" s="8"/>
    </row>
    <row r="13" spans="1:31" s="11" customFormat="1" ht="15" x14ac:dyDescent="0.25">
      <c r="A13" s="31">
        <v>9</v>
      </c>
      <c r="B13" s="30" t="s">
        <v>280</v>
      </c>
      <c r="C13" s="29">
        <v>1</v>
      </c>
      <c r="D13" s="29" t="s">
        <v>35</v>
      </c>
      <c r="E13" s="29"/>
      <c r="F13" s="28" t="s">
        <v>422</v>
      </c>
      <c r="G13" s="28" t="s">
        <v>278</v>
      </c>
      <c r="H13" s="1" t="s">
        <v>277</v>
      </c>
      <c r="I13" s="1" t="s">
        <v>421</v>
      </c>
      <c r="J13" s="27"/>
      <c r="K13" s="26"/>
      <c r="L13" s="25" t="e">
        <f t="shared" si="0"/>
        <v>#REF!</v>
      </c>
      <c r="M13" s="24"/>
      <c r="N13" s="23" t="e">
        <f t="shared" si="1"/>
        <v>#REF!</v>
      </c>
      <c r="O13" s="22" t="e">
        <f t="shared" si="2"/>
        <v>#REF!</v>
      </c>
      <c r="P13" s="8"/>
      <c r="S13" s="8" t="b">
        <f t="shared" si="3"/>
        <v>1</v>
      </c>
      <c r="T13" s="8">
        <v>1</v>
      </c>
      <c r="U13" s="8" t="b">
        <f t="shared" si="4"/>
        <v>1</v>
      </c>
      <c r="V13" s="67" t="s">
        <v>280</v>
      </c>
      <c r="W13" s="67" t="s">
        <v>279</v>
      </c>
      <c r="X13" s="66" t="s">
        <v>278</v>
      </c>
      <c r="Y13" s="66" t="s">
        <v>277</v>
      </c>
      <c r="Z13" s="8"/>
      <c r="AA13" s="8"/>
      <c r="AB13" s="8"/>
      <c r="AC13" s="8"/>
      <c r="AD13" s="8"/>
      <c r="AE13" s="8"/>
    </row>
    <row r="14" spans="1:31" s="11" customFormat="1" ht="15" x14ac:dyDescent="0.25">
      <c r="A14" s="31">
        <v>10</v>
      </c>
      <c r="B14" s="30" t="s">
        <v>276</v>
      </c>
      <c r="C14" s="29">
        <v>1</v>
      </c>
      <c r="D14" s="29" t="s">
        <v>35</v>
      </c>
      <c r="E14" s="29"/>
      <c r="F14" s="28" t="s">
        <v>420</v>
      </c>
      <c r="G14" s="28" t="s">
        <v>274</v>
      </c>
      <c r="H14" s="1" t="s">
        <v>273</v>
      </c>
      <c r="I14" s="1" t="s">
        <v>419</v>
      </c>
      <c r="J14" s="27"/>
      <c r="K14" s="26"/>
      <c r="L14" s="25" t="e">
        <f t="shared" si="0"/>
        <v>#REF!</v>
      </c>
      <c r="M14" s="24"/>
      <c r="N14" s="23" t="e">
        <f t="shared" si="1"/>
        <v>#REF!</v>
      </c>
      <c r="O14" s="22" t="e">
        <f t="shared" si="2"/>
        <v>#REF!</v>
      </c>
      <c r="P14" s="8"/>
      <c r="S14" s="8" t="b">
        <f t="shared" si="3"/>
        <v>1</v>
      </c>
      <c r="T14" s="8">
        <v>1</v>
      </c>
      <c r="U14" s="8" t="b">
        <f t="shared" si="4"/>
        <v>1</v>
      </c>
      <c r="V14" s="67" t="s">
        <v>276</v>
      </c>
      <c r="W14" s="67" t="s">
        <v>275</v>
      </c>
      <c r="X14" s="66" t="s">
        <v>274</v>
      </c>
      <c r="Y14" s="66" t="s">
        <v>273</v>
      </c>
      <c r="Z14" s="8"/>
      <c r="AA14" s="8"/>
      <c r="AB14" s="8"/>
      <c r="AC14" s="8"/>
      <c r="AD14" s="8"/>
      <c r="AE14" s="8"/>
    </row>
    <row r="15" spans="1:31" s="11" customFormat="1" ht="15" x14ac:dyDescent="0.25">
      <c r="A15" s="31">
        <v>11</v>
      </c>
      <c r="B15" s="30" t="s">
        <v>272</v>
      </c>
      <c r="C15" s="29">
        <v>1</v>
      </c>
      <c r="D15" s="29" t="s">
        <v>35</v>
      </c>
      <c r="E15" s="29"/>
      <c r="F15" s="28" t="s">
        <v>418</v>
      </c>
      <c r="G15" s="28" t="s">
        <v>270</v>
      </c>
      <c r="H15" s="1" t="s">
        <v>269</v>
      </c>
      <c r="I15" s="1" t="s">
        <v>417</v>
      </c>
      <c r="J15" s="27"/>
      <c r="K15" s="26" t="s">
        <v>416</v>
      </c>
      <c r="L15" s="25" t="e">
        <f t="shared" si="0"/>
        <v>#REF!</v>
      </c>
      <c r="M15" s="24"/>
      <c r="N15" s="23" t="e">
        <f t="shared" si="1"/>
        <v>#REF!</v>
      </c>
      <c r="O15" s="22" t="e">
        <f t="shared" si="2"/>
        <v>#REF!</v>
      </c>
      <c r="P15" s="8"/>
      <c r="S15" s="8" t="b">
        <f t="shared" si="3"/>
        <v>1</v>
      </c>
      <c r="T15" s="8">
        <v>1</v>
      </c>
      <c r="U15" s="8" t="b">
        <f t="shared" si="4"/>
        <v>1</v>
      </c>
      <c r="V15" s="67" t="s">
        <v>272</v>
      </c>
      <c r="W15" s="67" t="s">
        <v>271</v>
      </c>
      <c r="X15" s="66" t="s">
        <v>270</v>
      </c>
      <c r="Y15" s="66" t="s">
        <v>269</v>
      </c>
      <c r="Z15" s="8" t="b">
        <v>1</v>
      </c>
      <c r="AA15" s="8"/>
      <c r="AB15" s="8"/>
      <c r="AC15" s="8"/>
      <c r="AD15" s="8"/>
      <c r="AE15" s="8"/>
    </row>
    <row r="16" spans="1:31" s="11" customFormat="1" ht="26.25" x14ac:dyDescent="0.25">
      <c r="A16" s="31">
        <v>13</v>
      </c>
      <c r="B16" s="30" t="s">
        <v>268</v>
      </c>
      <c r="C16" s="29">
        <v>1</v>
      </c>
      <c r="D16" s="29" t="s">
        <v>35</v>
      </c>
      <c r="E16" s="29"/>
      <c r="F16" s="28" t="s">
        <v>415</v>
      </c>
      <c r="G16" s="28" t="s">
        <v>414</v>
      </c>
      <c r="H16" s="1" t="s">
        <v>413</v>
      </c>
      <c r="I16" s="1" t="s">
        <v>412</v>
      </c>
      <c r="J16" s="27"/>
      <c r="K16" s="26"/>
      <c r="L16" s="25" t="e">
        <f t="shared" si="0"/>
        <v>#REF!</v>
      </c>
      <c r="M16" s="24"/>
      <c r="N16" s="23" t="e">
        <f t="shared" si="1"/>
        <v>#REF!</v>
      </c>
      <c r="O16" s="22" t="e">
        <f t="shared" si="2"/>
        <v>#REF!</v>
      </c>
      <c r="P16" s="8"/>
      <c r="S16" s="8" t="b">
        <f t="shared" si="3"/>
        <v>1</v>
      </c>
      <c r="T16" s="8">
        <v>1</v>
      </c>
      <c r="U16" s="8" t="b">
        <f t="shared" si="4"/>
        <v>1</v>
      </c>
      <c r="V16" s="67" t="s">
        <v>268</v>
      </c>
      <c r="W16" s="67" t="s">
        <v>267</v>
      </c>
      <c r="X16" s="66" t="s">
        <v>262</v>
      </c>
      <c r="Y16" s="66" t="s">
        <v>266</v>
      </c>
      <c r="Z16" s="8" t="b">
        <v>1</v>
      </c>
      <c r="AA16" s="8"/>
      <c r="AB16" s="8"/>
      <c r="AC16" s="8"/>
      <c r="AD16" s="8"/>
      <c r="AE16" s="8"/>
    </row>
    <row r="17" spans="1:31" s="11" customFormat="1" ht="26.25" x14ac:dyDescent="0.25">
      <c r="A17" s="31">
        <v>14</v>
      </c>
      <c r="B17" s="30" t="s">
        <v>62</v>
      </c>
      <c r="C17" s="29">
        <v>1</v>
      </c>
      <c r="D17" s="29" t="s">
        <v>35</v>
      </c>
      <c r="E17" s="29"/>
      <c r="F17" s="28" t="s">
        <v>411</v>
      </c>
      <c r="G17" s="28" t="s">
        <v>262</v>
      </c>
      <c r="H17" s="1" t="s">
        <v>264</v>
      </c>
      <c r="I17" s="1" t="s">
        <v>410</v>
      </c>
      <c r="J17" s="27"/>
      <c r="K17" s="26"/>
      <c r="L17" s="25" t="e">
        <f t="shared" si="0"/>
        <v>#REF!</v>
      </c>
      <c r="M17" s="24"/>
      <c r="N17" s="23" t="e">
        <f t="shared" si="1"/>
        <v>#REF!</v>
      </c>
      <c r="O17" s="22" t="e">
        <f t="shared" si="2"/>
        <v>#REF!</v>
      </c>
      <c r="P17" s="8"/>
      <c r="S17" s="8" t="b">
        <f t="shared" si="3"/>
        <v>1</v>
      </c>
      <c r="T17" s="8">
        <v>1</v>
      </c>
      <c r="U17" s="8" t="b">
        <f t="shared" si="4"/>
        <v>1</v>
      </c>
      <c r="V17" s="67" t="s">
        <v>62</v>
      </c>
      <c r="W17" s="67" t="s">
        <v>265</v>
      </c>
      <c r="X17" s="66" t="s">
        <v>262</v>
      </c>
      <c r="Y17" s="66" t="s">
        <v>264</v>
      </c>
      <c r="Z17" s="8" t="b">
        <v>1</v>
      </c>
      <c r="AA17" s="8"/>
      <c r="AB17" s="8"/>
      <c r="AC17" s="8"/>
      <c r="AD17" s="8"/>
      <c r="AE17" s="8"/>
    </row>
    <row r="18" spans="1:31" s="11" customFormat="1" ht="26.25" x14ac:dyDescent="0.25">
      <c r="A18" s="31">
        <v>15</v>
      </c>
      <c r="B18" s="30" t="s">
        <v>63</v>
      </c>
      <c r="C18" s="29">
        <v>1</v>
      </c>
      <c r="D18" s="29" t="s">
        <v>35</v>
      </c>
      <c r="E18" s="29"/>
      <c r="F18" s="28" t="s">
        <v>409</v>
      </c>
      <c r="G18" s="28" t="s">
        <v>262</v>
      </c>
      <c r="H18" s="1" t="s">
        <v>261</v>
      </c>
      <c r="I18" s="1" t="s">
        <v>408</v>
      </c>
      <c r="J18" s="27"/>
      <c r="K18" s="26"/>
      <c r="L18" s="25" t="e">
        <f t="shared" si="0"/>
        <v>#REF!</v>
      </c>
      <c r="M18" s="24"/>
      <c r="N18" s="23" t="e">
        <f t="shared" si="1"/>
        <v>#REF!</v>
      </c>
      <c r="O18" s="22" t="e">
        <f t="shared" si="2"/>
        <v>#REF!</v>
      </c>
      <c r="P18" s="8"/>
      <c r="S18" s="8" t="b">
        <f t="shared" si="3"/>
        <v>1</v>
      </c>
      <c r="T18" s="8">
        <v>1</v>
      </c>
      <c r="U18" s="8" t="b">
        <f t="shared" si="4"/>
        <v>1</v>
      </c>
      <c r="V18" s="67" t="s">
        <v>63</v>
      </c>
      <c r="W18" s="67" t="s">
        <v>263</v>
      </c>
      <c r="X18" s="66" t="s">
        <v>262</v>
      </c>
      <c r="Y18" s="66" t="s">
        <v>261</v>
      </c>
      <c r="Z18" s="8" t="b">
        <v>1</v>
      </c>
      <c r="AA18" s="8"/>
      <c r="AB18" s="8"/>
      <c r="AC18" s="8"/>
      <c r="AD18" s="8"/>
      <c r="AE18" s="8"/>
    </row>
    <row r="19" spans="1:31" s="11" customFormat="1" ht="26.25" x14ac:dyDescent="0.25">
      <c r="A19" s="31">
        <v>16</v>
      </c>
      <c r="B19" s="30" t="s">
        <v>260</v>
      </c>
      <c r="C19" s="29">
        <v>1</v>
      </c>
      <c r="D19" s="29" t="s">
        <v>35</v>
      </c>
      <c r="E19" s="29"/>
      <c r="F19" s="11" t="s">
        <v>407</v>
      </c>
      <c r="G19" s="28" t="s">
        <v>406</v>
      </c>
      <c r="H19" s="1" t="s">
        <v>258</v>
      </c>
      <c r="I19" s="1" t="s">
        <v>405</v>
      </c>
      <c r="J19" s="27"/>
      <c r="K19" s="26"/>
      <c r="L19" s="25" t="e">
        <f t="shared" si="0"/>
        <v>#REF!</v>
      </c>
      <c r="M19" s="24"/>
      <c r="N19" s="23" t="e">
        <f t="shared" si="1"/>
        <v>#REF!</v>
      </c>
      <c r="O19" s="22" t="e">
        <f t="shared" si="2"/>
        <v>#REF!</v>
      </c>
      <c r="P19" s="8"/>
      <c r="S19" s="8" t="b">
        <f t="shared" si="3"/>
        <v>1</v>
      </c>
      <c r="T19" s="8">
        <v>1</v>
      </c>
      <c r="U19" s="8" t="b">
        <f t="shared" si="4"/>
        <v>1</v>
      </c>
      <c r="V19" s="67" t="s">
        <v>260</v>
      </c>
      <c r="W19" s="67" t="s">
        <v>259</v>
      </c>
      <c r="X19" s="66" t="s">
        <v>108</v>
      </c>
      <c r="Y19" s="66" t="s">
        <v>258</v>
      </c>
      <c r="Z19" s="8" t="b">
        <v>1</v>
      </c>
      <c r="AA19" s="8"/>
      <c r="AB19" s="8"/>
      <c r="AC19" s="8"/>
      <c r="AD19" s="8"/>
      <c r="AE19" s="8"/>
    </row>
    <row r="20" spans="1:31" s="11" customFormat="1" ht="26.25" x14ac:dyDescent="0.25">
      <c r="A20" s="31">
        <v>17</v>
      </c>
      <c r="B20" s="30" t="s">
        <v>256</v>
      </c>
      <c r="C20" s="29">
        <v>2</v>
      </c>
      <c r="D20" s="29" t="s">
        <v>35</v>
      </c>
      <c r="E20" s="29"/>
      <c r="F20" s="28" t="s">
        <v>64</v>
      </c>
      <c r="G20" s="28" t="s">
        <v>317</v>
      </c>
      <c r="H20" s="1" t="s">
        <v>65</v>
      </c>
      <c r="I20" s="1" t="s">
        <v>66</v>
      </c>
      <c r="J20" s="27"/>
      <c r="K20" s="26"/>
      <c r="L20" s="25" t="e">
        <f t="shared" si="0"/>
        <v>#REF!</v>
      </c>
      <c r="M20" s="24"/>
      <c r="N20" s="23" t="e">
        <f t="shared" si="1"/>
        <v>#REF!</v>
      </c>
      <c r="O20" s="22" t="e">
        <f t="shared" si="2"/>
        <v>#REF!</v>
      </c>
      <c r="P20" s="8"/>
      <c r="S20" s="8" t="b">
        <f t="shared" si="3"/>
        <v>1</v>
      </c>
      <c r="T20" s="8">
        <v>2</v>
      </c>
      <c r="U20" s="8" t="b">
        <f t="shared" si="4"/>
        <v>1</v>
      </c>
      <c r="V20" s="67" t="s">
        <v>256</v>
      </c>
      <c r="W20" s="67" t="s">
        <v>67</v>
      </c>
      <c r="X20" s="66" t="s">
        <v>68</v>
      </c>
      <c r="Y20" s="66" t="s">
        <v>65</v>
      </c>
      <c r="Z20" s="8" t="b">
        <v>1</v>
      </c>
      <c r="AA20" s="8"/>
      <c r="AB20" s="8"/>
      <c r="AC20" s="8"/>
      <c r="AD20" s="8"/>
      <c r="AE20" s="8"/>
    </row>
    <row r="21" spans="1:31" s="11" customFormat="1" ht="15" x14ac:dyDescent="0.25">
      <c r="A21" s="31">
        <v>18</v>
      </c>
      <c r="B21" s="30" t="s">
        <v>255</v>
      </c>
      <c r="C21" s="29">
        <v>1</v>
      </c>
      <c r="D21" s="29" t="s">
        <v>35</v>
      </c>
      <c r="E21" s="29"/>
      <c r="F21" s="28" t="s">
        <v>404</v>
      </c>
      <c r="G21" s="28" t="s">
        <v>54</v>
      </c>
      <c r="H21" s="1" t="s">
        <v>403</v>
      </c>
      <c r="I21" s="1" t="s">
        <v>402</v>
      </c>
      <c r="J21" s="27"/>
      <c r="K21" s="26"/>
      <c r="L21" s="25" t="e">
        <f t="shared" si="0"/>
        <v>#REF!</v>
      </c>
      <c r="M21" s="24"/>
      <c r="N21" s="23" t="e">
        <f t="shared" si="1"/>
        <v>#REF!</v>
      </c>
      <c r="O21" s="22" t="e">
        <f t="shared" si="2"/>
        <v>#REF!</v>
      </c>
      <c r="P21" s="8"/>
      <c r="S21" s="8" t="b">
        <f t="shared" si="3"/>
        <v>1</v>
      </c>
      <c r="T21" s="8">
        <v>1</v>
      </c>
      <c r="U21" s="8" t="b">
        <f t="shared" si="4"/>
        <v>1</v>
      </c>
      <c r="V21" s="67" t="s">
        <v>255</v>
      </c>
      <c r="W21" s="67" t="s">
        <v>254</v>
      </c>
      <c r="X21" s="66"/>
      <c r="Y21" s="66"/>
      <c r="Z21" s="8"/>
      <c r="AA21" s="8"/>
      <c r="AB21" s="8"/>
      <c r="AC21" s="8"/>
      <c r="AD21" s="8"/>
      <c r="AE21" s="8"/>
    </row>
    <row r="22" spans="1:31" s="11" customFormat="1" ht="26.25" x14ac:dyDescent="0.25">
      <c r="A22" s="31">
        <v>19</v>
      </c>
      <c r="B22" s="30" t="s">
        <v>249</v>
      </c>
      <c r="C22" s="29">
        <v>5</v>
      </c>
      <c r="D22" s="29" t="s">
        <v>35</v>
      </c>
      <c r="E22" s="29"/>
      <c r="F22" s="28" t="s">
        <v>92</v>
      </c>
      <c r="G22" s="28"/>
      <c r="H22" s="1" t="s">
        <v>93</v>
      </c>
      <c r="I22" s="1" t="s">
        <v>94</v>
      </c>
      <c r="J22" s="27"/>
      <c r="K22" s="32" t="s">
        <v>401</v>
      </c>
      <c r="L22" s="25" t="e">
        <f t="shared" si="0"/>
        <v>#REF!</v>
      </c>
      <c r="M22" s="24"/>
      <c r="N22" s="23" t="e">
        <f t="shared" si="1"/>
        <v>#REF!</v>
      </c>
      <c r="O22" s="22" t="e">
        <f t="shared" si="2"/>
        <v>#REF!</v>
      </c>
      <c r="P22" s="8"/>
      <c r="S22" s="8" t="b">
        <f t="shared" si="3"/>
        <v>1</v>
      </c>
      <c r="T22" s="8">
        <v>5</v>
      </c>
      <c r="U22" s="8" t="b">
        <f t="shared" si="4"/>
        <v>1</v>
      </c>
      <c r="V22" s="67" t="s">
        <v>249</v>
      </c>
      <c r="W22" s="67" t="s">
        <v>95</v>
      </c>
      <c r="X22" s="66"/>
      <c r="Y22" s="66"/>
      <c r="Z22" s="8"/>
      <c r="AA22" s="8"/>
      <c r="AB22" s="8"/>
      <c r="AC22" s="8"/>
      <c r="AD22" s="8"/>
      <c r="AE22" s="8"/>
    </row>
    <row r="23" spans="1:31" s="11" customFormat="1" ht="15" x14ac:dyDescent="0.25">
      <c r="A23" s="31">
        <v>20</v>
      </c>
      <c r="B23" s="30" t="s">
        <v>251</v>
      </c>
      <c r="C23" s="29">
        <v>2</v>
      </c>
      <c r="D23" s="29" t="s">
        <v>35</v>
      </c>
      <c r="E23" s="29"/>
      <c r="F23" s="28" t="s">
        <v>400</v>
      </c>
      <c r="G23" s="28" t="s">
        <v>55</v>
      </c>
      <c r="H23" s="1" t="s">
        <v>399</v>
      </c>
      <c r="I23" s="1" t="s">
        <v>398</v>
      </c>
      <c r="J23" s="27"/>
      <c r="K23" s="26"/>
      <c r="L23" s="25" t="e">
        <f t="shared" si="0"/>
        <v>#REF!</v>
      </c>
      <c r="M23" s="24"/>
      <c r="N23" s="23" t="e">
        <f t="shared" si="1"/>
        <v>#REF!</v>
      </c>
      <c r="O23" s="22" t="e">
        <f t="shared" si="2"/>
        <v>#REF!</v>
      </c>
      <c r="P23" s="8"/>
      <c r="S23" s="8" t="b">
        <f t="shared" si="3"/>
        <v>1</v>
      </c>
      <c r="T23" s="8">
        <v>2</v>
      </c>
      <c r="U23" s="8" t="b">
        <f t="shared" si="4"/>
        <v>1</v>
      </c>
      <c r="V23" s="67" t="s">
        <v>251</v>
      </c>
      <c r="W23" s="67" t="s">
        <v>250</v>
      </c>
      <c r="X23" s="66"/>
      <c r="Y23" s="66"/>
      <c r="Z23" s="8"/>
      <c r="AA23" s="8"/>
      <c r="AB23" s="8"/>
      <c r="AC23" s="8"/>
      <c r="AD23" s="8"/>
      <c r="AE23" s="8"/>
    </row>
    <row r="24" spans="1:31" s="11" customFormat="1" ht="15" x14ac:dyDescent="0.25">
      <c r="A24" s="31">
        <v>21</v>
      </c>
      <c r="B24" s="30" t="s">
        <v>248</v>
      </c>
      <c r="C24" s="29">
        <v>3</v>
      </c>
      <c r="D24" s="29" t="s">
        <v>35</v>
      </c>
      <c r="E24" s="29"/>
      <c r="F24" s="28" t="s">
        <v>88</v>
      </c>
      <c r="G24" s="28"/>
      <c r="H24" s="1" t="s">
        <v>89</v>
      </c>
      <c r="I24" s="1" t="s">
        <v>90</v>
      </c>
      <c r="J24" s="27"/>
      <c r="K24" s="26"/>
      <c r="L24" s="25" t="e">
        <f t="shared" si="0"/>
        <v>#REF!</v>
      </c>
      <c r="M24" s="24"/>
      <c r="N24" s="23" t="e">
        <f t="shared" si="1"/>
        <v>#REF!</v>
      </c>
      <c r="O24" s="22" t="e">
        <f t="shared" si="2"/>
        <v>#REF!</v>
      </c>
      <c r="P24" s="8"/>
      <c r="S24" s="8" t="b">
        <f t="shared" si="3"/>
        <v>1</v>
      </c>
      <c r="T24" s="8">
        <v>3</v>
      </c>
      <c r="U24" s="8" t="b">
        <f t="shared" si="4"/>
        <v>1</v>
      </c>
      <c r="V24" s="67" t="s">
        <v>248</v>
      </c>
      <c r="W24" s="67" t="s">
        <v>91</v>
      </c>
      <c r="X24" s="66"/>
      <c r="Y24" s="66"/>
      <c r="Z24" s="8"/>
      <c r="AA24" s="8"/>
      <c r="AB24" s="8"/>
      <c r="AC24" s="8"/>
      <c r="AD24" s="8"/>
      <c r="AE24" s="8"/>
    </row>
    <row r="25" spans="1:31" s="11" customFormat="1" ht="15" x14ac:dyDescent="0.25">
      <c r="A25" s="31">
        <v>22</v>
      </c>
      <c r="B25" s="30" t="s">
        <v>247</v>
      </c>
      <c r="C25" s="29">
        <v>1</v>
      </c>
      <c r="D25" s="29" t="s">
        <v>35</v>
      </c>
      <c r="E25" s="29"/>
      <c r="F25" s="28" t="s">
        <v>96</v>
      </c>
      <c r="G25" s="28" t="s">
        <v>311</v>
      </c>
      <c r="H25" s="1" t="s">
        <v>97</v>
      </c>
      <c r="I25" s="1" t="s">
        <v>98</v>
      </c>
      <c r="J25" s="27"/>
      <c r="K25" s="33" t="s">
        <v>397</v>
      </c>
      <c r="L25" s="25" t="e">
        <f t="shared" si="0"/>
        <v>#REF!</v>
      </c>
      <c r="M25" s="24"/>
      <c r="N25" s="23" t="e">
        <f t="shared" si="1"/>
        <v>#REF!</v>
      </c>
      <c r="O25" s="22" t="e">
        <f t="shared" si="2"/>
        <v>#REF!</v>
      </c>
      <c r="P25" s="8"/>
      <c r="S25" s="8" t="b">
        <f t="shared" si="3"/>
        <v>1</v>
      </c>
      <c r="T25" s="8">
        <v>1</v>
      </c>
      <c r="U25" s="8" t="b">
        <f t="shared" si="4"/>
        <v>1</v>
      </c>
      <c r="V25" s="67" t="s">
        <v>247</v>
      </c>
      <c r="W25" s="67" t="s">
        <v>99</v>
      </c>
      <c r="X25" s="66"/>
      <c r="Y25" s="66"/>
      <c r="Z25" s="8"/>
      <c r="AA25" s="8"/>
      <c r="AB25" s="8"/>
      <c r="AC25" s="8"/>
      <c r="AD25" s="8"/>
      <c r="AE25" s="8"/>
    </row>
    <row r="26" spans="1:31" s="11" customFormat="1" ht="15" x14ac:dyDescent="0.25">
      <c r="A26" s="31">
        <v>23</v>
      </c>
      <c r="B26" s="30" t="s">
        <v>246</v>
      </c>
      <c r="C26" s="29">
        <v>3</v>
      </c>
      <c r="D26" s="29" t="s">
        <v>35</v>
      </c>
      <c r="E26" s="29"/>
      <c r="F26" s="28" t="s">
        <v>76</v>
      </c>
      <c r="G26" s="28"/>
      <c r="H26" s="1" t="s">
        <v>77</v>
      </c>
      <c r="I26" s="1" t="s">
        <v>78</v>
      </c>
      <c r="J26" s="27"/>
      <c r="K26" s="26"/>
      <c r="L26" s="25" t="e">
        <f t="shared" si="0"/>
        <v>#REF!</v>
      </c>
      <c r="M26" s="24"/>
      <c r="N26" s="23" t="e">
        <f t="shared" si="1"/>
        <v>#REF!</v>
      </c>
      <c r="O26" s="22" t="e">
        <f t="shared" si="2"/>
        <v>#REF!</v>
      </c>
      <c r="P26" s="8"/>
      <c r="S26" s="8" t="b">
        <f t="shared" si="3"/>
        <v>1</v>
      </c>
      <c r="T26" s="8">
        <v>3</v>
      </c>
      <c r="U26" s="8" t="b">
        <f t="shared" si="4"/>
        <v>1</v>
      </c>
      <c r="V26" s="67" t="s">
        <v>246</v>
      </c>
      <c r="W26" s="67" t="s">
        <v>79</v>
      </c>
      <c r="X26" s="66"/>
      <c r="Y26" s="66"/>
      <c r="Z26" s="8"/>
      <c r="AA26" s="8"/>
      <c r="AB26" s="8"/>
      <c r="AC26" s="8"/>
      <c r="AD26" s="8"/>
      <c r="AE26" s="8"/>
    </row>
    <row r="27" spans="1:31" s="11" customFormat="1" ht="26.25" x14ac:dyDescent="0.25">
      <c r="A27" s="31">
        <v>24</v>
      </c>
      <c r="B27" s="30" t="s">
        <v>245</v>
      </c>
      <c r="C27" s="29">
        <v>11</v>
      </c>
      <c r="D27" s="29" t="s">
        <v>35</v>
      </c>
      <c r="E27" s="29"/>
      <c r="F27" s="28" t="s">
        <v>80</v>
      </c>
      <c r="G27" s="28"/>
      <c r="H27" s="1" t="s">
        <v>81</v>
      </c>
      <c r="I27" s="1" t="s">
        <v>82</v>
      </c>
      <c r="J27" s="27"/>
      <c r="K27" s="26"/>
      <c r="L27" s="25" t="e">
        <f t="shared" si="0"/>
        <v>#REF!</v>
      </c>
      <c r="M27" s="24"/>
      <c r="N27" s="23" t="e">
        <f t="shared" si="1"/>
        <v>#REF!</v>
      </c>
      <c r="O27" s="22" t="e">
        <f t="shared" si="2"/>
        <v>#REF!</v>
      </c>
      <c r="P27" s="8"/>
      <c r="S27" s="8" t="b">
        <f t="shared" si="3"/>
        <v>1</v>
      </c>
      <c r="T27" s="8">
        <v>11</v>
      </c>
      <c r="U27" s="8" t="b">
        <f t="shared" si="4"/>
        <v>1</v>
      </c>
      <c r="V27" s="67" t="s">
        <v>245</v>
      </c>
      <c r="W27" s="67" t="s">
        <v>244</v>
      </c>
      <c r="X27" s="66"/>
      <c r="Y27" s="66"/>
      <c r="Z27" s="8"/>
      <c r="AA27" s="8"/>
      <c r="AB27" s="8"/>
      <c r="AC27" s="8"/>
      <c r="AD27" s="8"/>
      <c r="AE27" s="8"/>
    </row>
    <row r="28" spans="1:31" s="11" customFormat="1" ht="15" x14ac:dyDescent="0.25">
      <c r="A28" s="31">
        <v>25</v>
      </c>
      <c r="B28" s="30" t="s">
        <v>243</v>
      </c>
      <c r="C28" s="29">
        <v>1</v>
      </c>
      <c r="D28" s="29" t="s">
        <v>35</v>
      </c>
      <c r="E28" s="29"/>
      <c r="F28" s="28" t="s">
        <v>396</v>
      </c>
      <c r="G28" s="28"/>
      <c r="H28" s="1" t="s">
        <v>395</v>
      </c>
      <c r="I28" s="1" t="s">
        <v>394</v>
      </c>
      <c r="J28" s="27"/>
      <c r="K28" s="26"/>
      <c r="L28" s="25" t="e">
        <f t="shared" si="0"/>
        <v>#REF!</v>
      </c>
      <c r="M28" s="24"/>
      <c r="N28" s="23" t="e">
        <f t="shared" si="1"/>
        <v>#REF!</v>
      </c>
      <c r="O28" s="22" t="e">
        <f t="shared" si="2"/>
        <v>#REF!</v>
      </c>
      <c r="P28" s="8"/>
      <c r="S28" s="8" t="b">
        <f t="shared" si="3"/>
        <v>1</v>
      </c>
      <c r="T28" s="8">
        <v>1</v>
      </c>
      <c r="U28" s="8" t="b">
        <f t="shared" si="4"/>
        <v>1</v>
      </c>
      <c r="V28" s="67" t="s">
        <v>243</v>
      </c>
      <c r="W28" s="67" t="s">
        <v>242</v>
      </c>
      <c r="X28" s="66"/>
      <c r="Y28" s="66"/>
      <c r="Z28" s="8"/>
      <c r="AA28" s="8"/>
      <c r="AB28" s="8"/>
      <c r="AC28" s="8"/>
      <c r="AD28" s="8"/>
      <c r="AE28" s="8"/>
    </row>
    <row r="29" spans="1:31" s="11" customFormat="1" ht="15" x14ac:dyDescent="0.25">
      <c r="A29" s="31">
        <v>26</v>
      </c>
      <c r="B29" s="30" t="s">
        <v>241</v>
      </c>
      <c r="C29" s="29">
        <v>1</v>
      </c>
      <c r="D29" s="29" t="s">
        <v>35</v>
      </c>
      <c r="E29" s="29"/>
      <c r="F29" s="28" t="s">
        <v>100</v>
      </c>
      <c r="G29" s="28"/>
      <c r="H29" s="1" t="s">
        <v>101</v>
      </c>
      <c r="I29" s="1" t="s">
        <v>102</v>
      </c>
      <c r="J29" s="27"/>
      <c r="K29" s="26"/>
      <c r="L29" s="25" t="e">
        <f t="shared" si="0"/>
        <v>#REF!</v>
      </c>
      <c r="M29" s="24"/>
      <c r="N29" s="23" t="e">
        <f t="shared" si="1"/>
        <v>#REF!</v>
      </c>
      <c r="O29" s="22" t="e">
        <f t="shared" si="2"/>
        <v>#REF!</v>
      </c>
      <c r="P29" s="8"/>
      <c r="S29" s="8" t="b">
        <f t="shared" si="3"/>
        <v>1</v>
      </c>
      <c r="T29" s="8">
        <v>1</v>
      </c>
      <c r="U29" s="8" t="b">
        <f t="shared" si="4"/>
        <v>1</v>
      </c>
      <c r="V29" s="67" t="s">
        <v>241</v>
      </c>
      <c r="W29" s="67" t="s">
        <v>240</v>
      </c>
      <c r="X29" s="66"/>
      <c r="Y29" s="66"/>
      <c r="Z29" s="8"/>
      <c r="AA29" s="8"/>
      <c r="AB29" s="8"/>
      <c r="AC29" s="8"/>
      <c r="AD29" s="8"/>
      <c r="AE29" s="8"/>
    </row>
    <row r="30" spans="1:31" s="11" customFormat="1" ht="15" x14ac:dyDescent="0.25">
      <c r="A30" s="31">
        <v>27</v>
      </c>
      <c r="B30" s="30" t="s">
        <v>239</v>
      </c>
      <c r="C30" s="29">
        <v>1</v>
      </c>
      <c r="D30" s="29" t="s">
        <v>35</v>
      </c>
      <c r="E30" s="29"/>
      <c r="F30" s="28" t="s">
        <v>393</v>
      </c>
      <c r="G30" s="28"/>
      <c r="H30" s="1" t="s">
        <v>392</v>
      </c>
      <c r="I30" s="1" t="s">
        <v>391</v>
      </c>
      <c r="J30" s="27"/>
      <c r="K30" s="26"/>
      <c r="L30" s="25" t="e">
        <f t="shared" si="0"/>
        <v>#REF!</v>
      </c>
      <c r="M30" s="24"/>
      <c r="N30" s="23" t="e">
        <f t="shared" si="1"/>
        <v>#REF!</v>
      </c>
      <c r="O30" s="22" t="e">
        <f t="shared" si="2"/>
        <v>#REF!</v>
      </c>
      <c r="P30" s="8"/>
      <c r="S30" s="8" t="b">
        <f t="shared" si="3"/>
        <v>1</v>
      </c>
      <c r="T30" s="8">
        <v>1</v>
      </c>
      <c r="U30" s="8" t="b">
        <f t="shared" si="4"/>
        <v>1</v>
      </c>
      <c r="V30" s="67" t="s">
        <v>239</v>
      </c>
      <c r="W30" s="67" t="s">
        <v>238</v>
      </c>
      <c r="X30" s="66"/>
      <c r="Y30" s="66"/>
      <c r="Z30" s="8"/>
      <c r="AA30" s="8"/>
      <c r="AB30" s="8"/>
      <c r="AC30" s="8"/>
      <c r="AD30" s="8"/>
      <c r="AE30" s="8"/>
    </row>
    <row r="31" spans="1:31" s="11" customFormat="1" ht="15" x14ac:dyDescent="0.25">
      <c r="A31" s="31">
        <v>28</v>
      </c>
      <c r="B31" s="30" t="s">
        <v>237</v>
      </c>
      <c r="C31" s="29">
        <v>3</v>
      </c>
      <c r="D31" s="29" t="s">
        <v>35</v>
      </c>
      <c r="E31" s="29"/>
      <c r="F31" s="28" t="s">
        <v>83</v>
      </c>
      <c r="G31" s="28"/>
      <c r="H31" s="1" t="s">
        <v>84</v>
      </c>
      <c r="I31" s="1" t="s">
        <v>85</v>
      </c>
      <c r="J31" s="27"/>
      <c r="K31" s="26"/>
      <c r="L31" s="25" t="e">
        <f t="shared" si="0"/>
        <v>#REF!</v>
      </c>
      <c r="M31" s="24"/>
      <c r="N31" s="23" t="e">
        <f t="shared" si="1"/>
        <v>#REF!</v>
      </c>
      <c r="O31" s="22" t="e">
        <f t="shared" si="2"/>
        <v>#REF!</v>
      </c>
      <c r="P31" s="8"/>
      <c r="S31" s="8" t="b">
        <f t="shared" si="3"/>
        <v>1</v>
      </c>
      <c r="T31" s="8">
        <v>3</v>
      </c>
      <c r="U31" s="8" t="b">
        <f t="shared" si="4"/>
        <v>1</v>
      </c>
      <c r="V31" s="67" t="s">
        <v>237</v>
      </c>
      <c r="W31" s="67" t="s">
        <v>86</v>
      </c>
      <c r="X31" s="66"/>
      <c r="Y31" s="66"/>
      <c r="Z31" s="8"/>
      <c r="AA31" s="8"/>
      <c r="AB31" s="8"/>
      <c r="AC31" s="8"/>
      <c r="AD31" s="8"/>
      <c r="AE31" s="8"/>
    </row>
    <row r="32" spans="1:31" s="11" customFormat="1" ht="15" x14ac:dyDescent="0.25">
      <c r="A32" s="31">
        <v>29</v>
      </c>
      <c r="B32" s="30" t="s">
        <v>236</v>
      </c>
      <c r="C32" s="29">
        <v>2</v>
      </c>
      <c r="D32" s="29" t="s">
        <v>35</v>
      </c>
      <c r="E32" s="29"/>
      <c r="F32" s="28" t="s">
        <v>72</v>
      </c>
      <c r="G32" s="28"/>
      <c r="H32" s="1" t="s">
        <v>73</v>
      </c>
      <c r="I32" s="1" t="s">
        <v>74</v>
      </c>
      <c r="J32" s="27"/>
      <c r="K32" s="26"/>
      <c r="L32" s="25" t="e">
        <f t="shared" si="0"/>
        <v>#REF!</v>
      </c>
      <c r="M32" s="24"/>
      <c r="N32" s="23" t="e">
        <f t="shared" si="1"/>
        <v>#REF!</v>
      </c>
      <c r="O32" s="22" t="e">
        <f t="shared" si="2"/>
        <v>#REF!</v>
      </c>
      <c r="P32" s="8"/>
      <c r="S32" s="8" t="b">
        <f t="shared" si="3"/>
        <v>1</v>
      </c>
      <c r="T32" s="8">
        <v>2</v>
      </c>
      <c r="U32" s="8" t="b">
        <f t="shared" si="4"/>
        <v>1</v>
      </c>
      <c r="V32" s="67" t="s">
        <v>236</v>
      </c>
      <c r="W32" s="67" t="s">
        <v>75</v>
      </c>
      <c r="X32" s="66"/>
      <c r="Y32" s="66"/>
      <c r="Z32" s="8"/>
      <c r="AA32" s="8"/>
      <c r="AB32" s="8"/>
      <c r="AC32" s="8"/>
      <c r="AD32" s="8"/>
      <c r="AE32" s="8"/>
    </row>
    <row r="33" spans="1:31" s="11" customFormat="1" ht="15" x14ac:dyDescent="0.25">
      <c r="A33" s="31">
        <v>30</v>
      </c>
      <c r="B33" s="30" t="s">
        <v>235</v>
      </c>
      <c r="C33" s="29">
        <v>1</v>
      </c>
      <c r="D33" s="29" t="s">
        <v>35</v>
      </c>
      <c r="E33" s="29"/>
      <c r="F33" s="28" t="s">
        <v>390</v>
      </c>
      <c r="G33" s="28" t="s">
        <v>54</v>
      </c>
      <c r="H33" s="1" t="s">
        <v>389</v>
      </c>
      <c r="I33" s="1" t="s">
        <v>388</v>
      </c>
      <c r="J33" s="27"/>
      <c r="K33" s="26"/>
      <c r="L33" s="25" t="e">
        <f t="shared" si="0"/>
        <v>#REF!</v>
      </c>
      <c r="M33" s="24"/>
      <c r="N33" s="23" t="e">
        <f t="shared" si="1"/>
        <v>#REF!</v>
      </c>
      <c r="O33" s="22" t="e">
        <f t="shared" si="2"/>
        <v>#REF!</v>
      </c>
      <c r="P33" s="8"/>
      <c r="S33" s="8" t="b">
        <f t="shared" si="3"/>
        <v>1</v>
      </c>
      <c r="T33" s="8">
        <v>1</v>
      </c>
      <c r="U33" s="8" t="b">
        <f t="shared" si="4"/>
        <v>1</v>
      </c>
      <c r="V33" s="67" t="s">
        <v>235</v>
      </c>
      <c r="W33" s="67" t="s">
        <v>234</v>
      </c>
      <c r="X33" s="66"/>
      <c r="Y33" s="66"/>
      <c r="Z33" s="8"/>
      <c r="AA33" s="8"/>
      <c r="AB33" s="8"/>
      <c r="AC33" s="8"/>
      <c r="AD33" s="8"/>
      <c r="AE33" s="8"/>
    </row>
    <row r="34" spans="1:31" s="11" customFormat="1" ht="15" x14ac:dyDescent="0.25">
      <c r="A34" s="31">
        <v>31</v>
      </c>
      <c r="B34" s="30" t="s">
        <v>233</v>
      </c>
      <c r="C34" s="29">
        <v>1</v>
      </c>
      <c r="D34" s="29" t="s">
        <v>35</v>
      </c>
      <c r="E34" s="29"/>
      <c r="F34" s="28" t="s">
        <v>387</v>
      </c>
      <c r="G34" s="28" t="s">
        <v>54</v>
      </c>
      <c r="H34" s="1" t="s">
        <v>386</v>
      </c>
      <c r="I34" s="1" t="s">
        <v>385</v>
      </c>
      <c r="J34" s="27"/>
      <c r="K34" s="26"/>
      <c r="L34" s="25" t="e">
        <f t="shared" si="0"/>
        <v>#REF!</v>
      </c>
      <c r="M34" s="24"/>
      <c r="N34" s="23" t="e">
        <f t="shared" si="1"/>
        <v>#REF!</v>
      </c>
      <c r="O34" s="22" t="e">
        <f t="shared" si="2"/>
        <v>#REF!</v>
      </c>
      <c r="P34" s="8"/>
      <c r="S34" s="8" t="b">
        <f t="shared" si="3"/>
        <v>1</v>
      </c>
      <c r="T34" s="8">
        <v>1</v>
      </c>
      <c r="U34" s="8" t="b">
        <f t="shared" si="4"/>
        <v>1</v>
      </c>
      <c r="V34" s="67" t="s">
        <v>233</v>
      </c>
      <c r="W34" s="67" t="s">
        <v>232</v>
      </c>
      <c r="X34" s="66"/>
      <c r="Y34" s="66"/>
      <c r="Z34" s="8"/>
      <c r="AA34" s="8"/>
      <c r="AB34" s="8"/>
      <c r="AC34" s="8"/>
      <c r="AD34" s="8"/>
      <c r="AE34" s="8"/>
    </row>
    <row r="35" spans="1:31" s="11" customFormat="1" ht="15" x14ac:dyDescent="0.25">
      <c r="A35" s="31">
        <v>32</v>
      </c>
      <c r="B35" s="30" t="s">
        <v>231</v>
      </c>
      <c r="C35" s="29">
        <v>2</v>
      </c>
      <c r="D35" s="29" t="s">
        <v>35</v>
      </c>
      <c r="E35" s="29"/>
      <c r="F35" s="28" t="s">
        <v>96</v>
      </c>
      <c r="G35" s="28"/>
      <c r="H35" s="1" t="s">
        <v>97</v>
      </c>
      <c r="I35" s="1" t="s">
        <v>98</v>
      </c>
      <c r="J35" s="27"/>
      <c r="K35" s="33" t="s">
        <v>384</v>
      </c>
      <c r="L35" s="25" t="e">
        <f t="shared" si="0"/>
        <v>#REF!</v>
      </c>
      <c r="M35" s="24"/>
      <c r="N35" s="23" t="e">
        <f t="shared" si="1"/>
        <v>#REF!</v>
      </c>
      <c r="O35" s="22" t="e">
        <f t="shared" si="2"/>
        <v>#REF!</v>
      </c>
      <c r="P35" s="8"/>
      <c r="S35" s="8" t="b">
        <f t="shared" si="3"/>
        <v>1</v>
      </c>
      <c r="T35" s="8">
        <v>2</v>
      </c>
      <c r="U35" s="8" t="b">
        <f t="shared" si="4"/>
        <v>1</v>
      </c>
      <c r="V35" s="67" t="s">
        <v>231</v>
      </c>
      <c r="W35" s="67" t="s">
        <v>230</v>
      </c>
      <c r="X35" s="66"/>
      <c r="Y35" s="66"/>
      <c r="Z35" s="8"/>
      <c r="AA35" s="8"/>
      <c r="AB35" s="8"/>
      <c r="AC35" s="8"/>
      <c r="AD35" s="8"/>
      <c r="AE35" s="8"/>
    </row>
    <row r="36" spans="1:31" s="11" customFormat="1" ht="15" x14ac:dyDescent="0.25">
      <c r="A36" s="31">
        <v>33</v>
      </c>
      <c r="B36" s="30" t="s">
        <v>229</v>
      </c>
      <c r="C36" s="29">
        <v>1</v>
      </c>
      <c r="D36" s="29" t="s">
        <v>35</v>
      </c>
      <c r="E36" s="29"/>
      <c r="F36" s="28" t="s">
        <v>383</v>
      </c>
      <c r="G36" s="28" t="s">
        <v>311</v>
      </c>
      <c r="H36" s="1" t="s">
        <v>382</v>
      </c>
      <c r="I36" s="1" t="s">
        <v>381</v>
      </c>
      <c r="J36" s="27"/>
      <c r="K36" s="26"/>
      <c r="L36" s="25" t="e">
        <f t="shared" si="0"/>
        <v>#REF!</v>
      </c>
      <c r="M36" s="24"/>
      <c r="N36" s="23" t="e">
        <f t="shared" si="1"/>
        <v>#REF!</v>
      </c>
      <c r="O36" s="22" t="e">
        <f t="shared" si="2"/>
        <v>#REF!</v>
      </c>
      <c r="P36" s="8"/>
      <c r="S36" s="8" t="b">
        <f t="shared" si="3"/>
        <v>1</v>
      </c>
      <c r="T36" s="8">
        <v>1</v>
      </c>
      <c r="U36" s="8" t="b">
        <f t="shared" si="4"/>
        <v>1</v>
      </c>
      <c r="V36" s="67" t="s">
        <v>229</v>
      </c>
      <c r="W36" s="67" t="s">
        <v>228</v>
      </c>
      <c r="X36" s="66"/>
      <c r="Y36" s="66"/>
      <c r="Z36" s="8"/>
      <c r="AA36" s="8"/>
      <c r="AB36" s="8"/>
      <c r="AC36" s="8"/>
      <c r="AD36" s="8"/>
      <c r="AE36" s="8"/>
    </row>
    <row r="37" spans="1:31" s="11" customFormat="1" ht="15" x14ac:dyDescent="0.25">
      <c r="A37" s="31">
        <v>34</v>
      </c>
      <c r="B37" s="30" t="s">
        <v>227</v>
      </c>
      <c r="C37" s="29">
        <v>1</v>
      </c>
      <c r="D37" s="29" t="s">
        <v>35</v>
      </c>
      <c r="E37" s="29"/>
      <c r="F37" s="28" t="s">
        <v>380</v>
      </c>
      <c r="G37" s="28"/>
      <c r="H37" s="1" t="s">
        <v>379</v>
      </c>
      <c r="I37" s="1" t="s">
        <v>378</v>
      </c>
      <c r="J37" s="27"/>
      <c r="K37" s="26"/>
      <c r="L37" s="25" t="e">
        <f t="shared" ref="L37:L65" si="5">+$L$2*C37</f>
        <v>#REF!</v>
      </c>
      <c r="M37" s="24"/>
      <c r="N37" s="23" t="e">
        <f t="shared" ref="N37:N68" si="6">IF((L37-M37)&gt;0,-(L37-M37),0)</f>
        <v>#REF!</v>
      </c>
      <c r="O37" s="22" t="e">
        <f t="shared" ref="O37:O68" si="7">IF((M37-N37)&gt;0,-(L37-(M37-N37)),0)</f>
        <v>#REF!</v>
      </c>
      <c r="P37" s="8"/>
      <c r="S37" s="8" t="b">
        <f t="shared" ref="S37:S68" si="8">T37=C37</f>
        <v>1</v>
      </c>
      <c r="T37" s="8">
        <v>1</v>
      </c>
      <c r="U37" s="8" t="b">
        <f t="shared" ref="U37:U68" si="9">V37=B37</f>
        <v>1</v>
      </c>
      <c r="V37" s="67" t="s">
        <v>227</v>
      </c>
      <c r="W37" s="67" t="s">
        <v>226</v>
      </c>
      <c r="X37" s="66"/>
      <c r="Y37" s="66"/>
      <c r="Z37" s="8"/>
      <c r="AA37" s="8"/>
      <c r="AB37" s="8"/>
      <c r="AC37" s="8"/>
      <c r="AD37" s="8"/>
      <c r="AE37" s="8"/>
    </row>
    <row r="38" spans="1:31" s="11" customFormat="1" ht="26.25" x14ac:dyDescent="0.25">
      <c r="A38" s="31">
        <v>35</v>
      </c>
      <c r="B38" s="30" t="s">
        <v>225</v>
      </c>
      <c r="C38" s="29">
        <v>11</v>
      </c>
      <c r="D38" s="29" t="s">
        <v>35</v>
      </c>
      <c r="E38" s="29"/>
      <c r="F38" s="28" t="s">
        <v>377</v>
      </c>
      <c r="G38" s="28" t="s">
        <v>55</v>
      </c>
      <c r="H38" s="1" t="s">
        <v>376</v>
      </c>
      <c r="I38" s="1" t="s">
        <v>375</v>
      </c>
      <c r="J38" s="27"/>
      <c r="K38" s="26"/>
      <c r="L38" s="25" t="e">
        <f t="shared" si="5"/>
        <v>#REF!</v>
      </c>
      <c r="M38" s="24"/>
      <c r="N38" s="23" t="e">
        <f t="shared" si="6"/>
        <v>#REF!</v>
      </c>
      <c r="O38" s="22" t="e">
        <f t="shared" si="7"/>
        <v>#REF!</v>
      </c>
      <c r="P38" s="8"/>
      <c r="S38" s="8" t="b">
        <f t="shared" si="8"/>
        <v>1</v>
      </c>
      <c r="T38" s="8">
        <v>11</v>
      </c>
      <c r="U38" s="8" t="b">
        <f t="shared" si="9"/>
        <v>1</v>
      </c>
      <c r="V38" s="67" t="s">
        <v>225</v>
      </c>
      <c r="W38" s="67" t="s">
        <v>224</v>
      </c>
      <c r="X38" s="66"/>
      <c r="Y38" s="66"/>
      <c r="Z38" s="8"/>
      <c r="AA38" s="8"/>
      <c r="AB38" s="8"/>
      <c r="AC38" s="8"/>
      <c r="AD38" s="8"/>
      <c r="AE38" s="8"/>
    </row>
    <row r="39" spans="1:31" s="11" customFormat="1" ht="15" x14ac:dyDescent="0.25">
      <c r="A39" s="31">
        <v>36</v>
      </c>
      <c r="B39" s="30" t="s">
        <v>223</v>
      </c>
      <c r="C39" s="29">
        <v>1</v>
      </c>
      <c r="D39" s="29" t="s">
        <v>35</v>
      </c>
      <c r="E39" s="29"/>
      <c r="F39" s="28" t="s">
        <v>374</v>
      </c>
      <c r="G39" s="28" t="s">
        <v>106</v>
      </c>
      <c r="H39" s="1" t="s">
        <v>373</v>
      </c>
      <c r="I39" s="1" t="s">
        <v>372</v>
      </c>
      <c r="J39" s="27"/>
      <c r="K39" s="26"/>
      <c r="L39" s="25" t="e">
        <f t="shared" si="5"/>
        <v>#REF!</v>
      </c>
      <c r="M39" s="24"/>
      <c r="N39" s="23" t="e">
        <f t="shared" si="6"/>
        <v>#REF!</v>
      </c>
      <c r="O39" s="22" t="e">
        <f t="shared" si="7"/>
        <v>#REF!</v>
      </c>
      <c r="P39" s="8"/>
      <c r="S39" s="8" t="b">
        <f t="shared" si="8"/>
        <v>1</v>
      </c>
      <c r="T39" s="8">
        <v>1</v>
      </c>
      <c r="U39" s="8" t="b">
        <f t="shared" si="9"/>
        <v>1</v>
      </c>
      <c r="V39" s="67" t="s">
        <v>223</v>
      </c>
      <c r="W39" s="67" t="s">
        <v>222</v>
      </c>
      <c r="X39" s="66"/>
      <c r="Y39" s="66"/>
      <c r="Z39" s="8"/>
      <c r="AA39" s="8"/>
      <c r="AB39" s="8"/>
      <c r="AC39" s="8"/>
      <c r="AD39" s="8"/>
      <c r="AE39" s="8"/>
    </row>
    <row r="40" spans="1:31" s="11" customFormat="1" ht="15" x14ac:dyDescent="0.25">
      <c r="A40" s="31">
        <v>37</v>
      </c>
      <c r="B40" s="30" t="s">
        <v>221</v>
      </c>
      <c r="C40" s="29">
        <v>2</v>
      </c>
      <c r="D40" s="29" t="s">
        <v>35</v>
      </c>
      <c r="E40" s="29"/>
      <c r="F40" s="28" t="s">
        <v>371</v>
      </c>
      <c r="G40" s="28" t="s">
        <v>355</v>
      </c>
      <c r="H40" s="1" t="s">
        <v>370</v>
      </c>
      <c r="I40" s="1" t="s">
        <v>369</v>
      </c>
      <c r="J40" s="27"/>
      <c r="K40" s="26"/>
      <c r="L40" s="25" t="e">
        <f t="shared" si="5"/>
        <v>#REF!</v>
      </c>
      <c r="M40" s="24"/>
      <c r="N40" s="23" t="e">
        <f t="shared" si="6"/>
        <v>#REF!</v>
      </c>
      <c r="O40" s="22" t="e">
        <f t="shared" si="7"/>
        <v>#REF!</v>
      </c>
      <c r="P40" s="8"/>
      <c r="S40" s="8" t="b">
        <f t="shared" si="8"/>
        <v>1</v>
      </c>
      <c r="T40" s="8">
        <v>2</v>
      </c>
      <c r="U40" s="8" t="b">
        <f t="shared" si="9"/>
        <v>1</v>
      </c>
      <c r="V40" s="67" t="s">
        <v>221</v>
      </c>
      <c r="W40" s="67" t="s">
        <v>220</v>
      </c>
      <c r="X40" s="66"/>
      <c r="Y40" s="66"/>
      <c r="Z40" s="8"/>
      <c r="AA40" s="8"/>
      <c r="AB40" s="8"/>
      <c r="AC40" s="8"/>
      <c r="AD40" s="8"/>
      <c r="AE40" s="8"/>
    </row>
    <row r="41" spans="1:31" s="11" customFormat="1" ht="15" x14ac:dyDescent="0.25">
      <c r="A41" s="31">
        <v>38</v>
      </c>
      <c r="B41" s="30" t="s">
        <v>219</v>
      </c>
      <c r="C41" s="29">
        <v>1</v>
      </c>
      <c r="D41" s="29" t="s">
        <v>35</v>
      </c>
      <c r="E41" s="29"/>
      <c r="F41" s="28" t="s">
        <v>368</v>
      </c>
      <c r="G41" s="28"/>
      <c r="H41" s="1" t="s">
        <v>367</v>
      </c>
      <c r="I41" s="1" t="s">
        <v>366</v>
      </c>
      <c r="J41" s="27"/>
      <c r="K41" s="26"/>
      <c r="L41" s="25" t="e">
        <f t="shared" si="5"/>
        <v>#REF!</v>
      </c>
      <c r="M41" s="24"/>
      <c r="N41" s="23" t="e">
        <f t="shared" si="6"/>
        <v>#REF!</v>
      </c>
      <c r="O41" s="22" t="e">
        <f t="shared" si="7"/>
        <v>#REF!</v>
      </c>
      <c r="P41" s="8"/>
      <c r="S41" s="8" t="b">
        <f t="shared" si="8"/>
        <v>1</v>
      </c>
      <c r="T41" s="8">
        <v>1</v>
      </c>
      <c r="U41" s="8" t="b">
        <f t="shared" si="9"/>
        <v>1</v>
      </c>
      <c r="V41" s="67" t="s">
        <v>219</v>
      </c>
      <c r="W41" s="67" t="s">
        <v>218</v>
      </c>
      <c r="X41" s="66"/>
      <c r="Y41" s="66"/>
      <c r="Z41" s="8"/>
      <c r="AA41" s="8"/>
      <c r="AB41" s="8"/>
      <c r="AC41" s="8"/>
      <c r="AD41" s="8"/>
      <c r="AE41" s="8"/>
    </row>
    <row r="42" spans="1:31" s="11" customFormat="1" ht="15" x14ac:dyDescent="0.25">
      <c r="A42" s="31">
        <v>39</v>
      </c>
      <c r="B42" s="30" t="s">
        <v>87</v>
      </c>
      <c r="C42" s="29">
        <v>1</v>
      </c>
      <c r="D42" s="29" t="s">
        <v>35</v>
      </c>
      <c r="E42" s="29"/>
      <c r="F42" s="28" t="s">
        <v>103</v>
      </c>
      <c r="G42" s="28"/>
      <c r="H42" s="1" t="s">
        <v>104</v>
      </c>
      <c r="I42" s="1" t="s">
        <v>105</v>
      </c>
      <c r="J42" s="27"/>
      <c r="K42" s="26"/>
      <c r="L42" s="25" t="e">
        <f t="shared" si="5"/>
        <v>#REF!</v>
      </c>
      <c r="M42" s="24"/>
      <c r="N42" s="23" t="e">
        <f t="shared" si="6"/>
        <v>#REF!</v>
      </c>
      <c r="O42" s="22" t="e">
        <f t="shared" si="7"/>
        <v>#REF!</v>
      </c>
      <c r="P42" s="8"/>
      <c r="S42" s="8" t="b">
        <f t="shared" si="8"/>
        <v>1</v>
      </c>
      <c r="T42" s="8">
        <v>1</v>
      </c>
      <c r="U42" s="8" t="b">
        <f t="shared" si="9"/>
        <v>1</v>
      </c>
      <c r="V42" s="67" t="s">
        <v>87</v>
      </c>
      <c r="W42" s="67" t="s">
        <v>217</v>
      </c>
      <c r="X42" s="66"/>
      <c r="Y42" s="66"/>
      <c r="Z42" s="8"/>
      <c r="AA42" s="8"/>
      <c r="AB42" s="8"/>
      <c r="AC42" s="8"/>
      <c r="AD42" s="8"/>
      <c r="AE42" s="8"/>
    </row>
    <row r="43" spans="1:31" s="11" customFormat="1" ht="15" x14ac:dyDescent="0.25">
      <c r="A43" s="31">
        <v>40</v>
      </c>
      <c r="B43" s="30" t="s">
        <v>216</v>
      </c>
      <c r="C43" s="29">
        <v>1</v>
      </c>
      <c r="D43" s="29" t="s">
        <v>35</v>
      </c>
      <c r="E43" s="29"/>
      <c r="F43" s="28" t="s">
        <v>69</v>
      </c>
      <c r="G43" s="28"/>
      <c r="H43" s="1" t="s">
        <v>70</v>
      </c>
      <c r="I43" s="1" t="s">
        <v>71</v>
      </c>
      <c r="J43" s="27"/>
      <c r="K43" s="26"/>
      <c r="L43" s="25" t="e">
        <f t="shared" si="5"/>
        <v>#REF!</v>
      </c>
      <c r="M43" s="24"/>
      <c r="N43" s="23" t="e">
        <f t="shared" si="6"/>
        <v>#REF!</v>
      </c>
      <c r="O43" s="22" t="e">
        <f t="shared" si="7"/>
        <v>#REF!</v>
      </c>
      <c r="P43" s="8"/>
      <c r="S43" s="8" t="b">
        <f t="shared" si="8"/>
        <v>1</v>
      </c>
      <c r="T43" s="8">
        <v>1</v>
      </c>
      <c r="U43" s="8" t="b">
        <f t="shared" si="9"/>
        <v>1</v>
      </c>
      <c r="V43" s="67" t="s">
        <v>216</v>
      </c>
      <c r="W43" s="67" t="s">
        <v>215</v>
      </c>
      <c r="X43" s="66"/>
      <c r="Y43" s="66"/>
      <c r="Z43" s="8"/>
      <c r="AA43" s="8"/>
      <c r="AB43" s="8"/>
      <c r="AC43" s="8"/>
      <c r="AD43" s="8"/>
      <c r="AE43" s="8"/>
    </row>
    <row r="44" spans="1:31" s="11" customFormat="1" ht="26.25" x14ac:dyDescent="0.25">
      <c r="A44" s="31">
        <v>41</v>
      </c>
      <c r="B44" s="30" t="s">
        <v>214</v>
      </c>
      <c r="C44" s="29">
        <v>1</v>
      </c>
      <c r="D44" s="29" t="s">
        <v>35</v>
      </c>
      <c r="E44" s="29"/>
      <c r="F44" s="28" t="s">
        <v>365</v>
      </c>
      <c r="G44" s="28" t="s">
        <v>364</v>
      </c>
      <c r="H44" s="1" t="s">
        <v>363</v>
      </c>
      <c r="I44" s="1" t="s">
        <v>362</v>
      </c>
      <c r="J44" s="27"/>
      <c r="K44" s="32" t="s">
        <v>361</v>
      </c>
      <c r="L44" s="25" t="e">
        <f t="shared" si="5"/>
        <v>#REF!</v>
      </c>
      <c r="M44" s="24"/>
      <c r="N44" s="23" t="e">
        <f t="shared" si="6"/>
        <v>#REF!</v>
      </c>
      <c r="O44" s="22" t="e">
        <f t="shared" si="7"/>
        <v>#REF!</v>
      </c>
      <c r="P44" s="8"/>
      <c r="S44" s="8" t="b">
        <f t="shared" si="8"/>
        <v>1</v>
      </c>
      <c r="T44" s="8">
        <v>1</v>
      </c>
      <c r="U44" s="8" t="b">
        <f t="shared" si="9"/>
        <v>1</v>
      </c>
      <c r="V44" s="67" t="s">
        <v>214</v>
      </c>
      <c r="W44" s="67" t="s">
        <v>213</v>
      </c>
      <c r="X44" s="66" t="s">
        <v>211</v>
      </c>
      <c r="Y44" s="66" t="s">
        <v>212</v>
      </c>
      <c r="Z44" s="8"/>
      <c r="AA44" s="8"/>
      <c r="AB44" s="8" t="s">
        <v>211</v>
      </c>
      <c r="AC44" s="8" t="s">
        <v>210</v>
      </c>
      <c r="AD44" s="8"/>
      <c r="AE44" s="8"/>
    </row>
    <row r="45" spans="1:31" s="11" customFormat="1" ht="15" x14ac:dyDescent="0.25">
      <c r="A45" s="31">
        <v>42</v>
      </c>
      <c r="B45" s="30" t="s">
        <v>209</v>
      </c>
      <c r="C45" s="29">
        <v>1</v>
      </c>
      <c r="D45" s="29" t="s">
        <v>35</v>
      </c>
      <c r="E45" s="29"/>
      <c r="F45" s="28" t="s">
        <v>360</v>
      </c>
      <c r="G45" s="28" t="s">
        <v>320</v>
      </c>
      <c r="H45" s="1" t="s">
        <v>207</v>
      </c>
      <c r="I45" s="1" t="s">
        <v>359</v>
      </c>
      <c r="J45" s="27"/>
      <c r="K45" s="26"/>
      <c r="L45" s="25" t="e">
        <f t="shared" si="5"/>
        <v>#REF!</v>
      </c>
      <c r="M45" s="24"/>
      <c r="N45" s="23" t="e">
        <f t="shared" si="6"/>
        <v>#REF!</v>
      </c>
      <c r="O45" s="22" t="e">
        <f t="shared" si="7"/>
        <v>#REF!</v>
      </c>
      <c r="P45" s="8"/>
      <c r="S45" s="8" t="b">
        <f t="shared" si="8"/>
        <v>1</v>
      </c>
      <c r="T45" s="8">
        <v>1</v>
      </c>
      <c r="U45" s="8" t="b">
        <f t="shared" si="9"/>
        <v>1</v>
      </c>
      <c r="V45" s="67" t="s">
        <v>209</v>
      </c>
      <c r="W45" s="67" t="s">
        <v>208</v>
      </c>
      <c r="X45" s="66" t="s">
        <v>158</v>
      </c>
      <c r="Y45" s="66" t="s">
        <v>207</v>
      </c>
      <c r="Z45" s="8" t="b">
        <v>1</v>
      </c>
      <c r="AA45" s="8"/>
      <c r="AB45" s="8"/>
      <c r="AC45" s="8"/>
      <c r="AD45" s="8"/>
      <c r="AE45" s="8"/>
    </row>
    <row r="46" spans="1:31" s="11" customFormat="1" ht="39" x14ac:dyDescent="0.25">
      <c r="A46" s="31">
        <v>43</v>
      </c>
      <c r="B46" s="30" t="s">
        <v>113</v>
      </c>
      <c r="C46" s="29">
        <v>1</v>
      </c>
      <c r="D46" s="29" t="s">
        <v>35</v>
      </c>
      <c r="E46" s="29"/>
      <c r="F46" s="28" t="s">
        <v>206</v>
      </c>
      <c r="G46" s="28" t="s">
        <v>117</v>
      </c>
      <c r="H46" s="1" t="s">
        <v>205</v>
      </c>
      <c r="I46" s="1" t="s">
        <v>358</v>
      </c>
      <c r="J46" s="27"/>
      <c r="K46" s="73" t="s">
        <v>357</v>
      </c>
      <c r="L46" s="25" t="e">
        <f t="shared" si="5"/>
        <v>#REF!</v>
      </c>
      <c r="M46" s="24"/>
      <c r="N46" s="23" t="e">
        <f t="shared" si="6"/>
        <v>#REF!</v>
      </c>
      <c r="O46" s="22" t="e">
        <f t="shared" si="7"/>
        <v>#REF!</v>
      </c>
      <c r="P46" s="8"/>
      <c r="Q46" s="72"/>
      <c r="S46" s="8" t="b">
        <f t="shared" si="8"/>
        <v>1</v>
      </c>
      <c r="T46" s="8">
        <v>1</v>
      </c>
      <c r="U46" s="8" t="b">
        <f t="shared" si="9"/>
        <v>1</v>
      </c>
      <c r="V46" s="67" t="s">
        <v>113</v>
      </c>
      <c r="W46" s="67" t="s">
        <v>206</v>
      </c>
      <c r="X46" s="66" t="s">
        <v>118</v>
      </c>
      <c r="Y46" s="66" t="s">
        <v>205</v>
      </c>
      <c r="Z46" s="8" t="b">
        <v>1</v>
      </c>
      <c r="AA46" s="8"/>
      <c r="AB46" s="8" t="s">
        <v>118</v>
      </c>
      <c r="AC46" s="8" t="s">
        <v>204</v>
      </c>
      <c r="AD46" s="8"/>
      <c r="AE46" s="8"/>
    </row>
    <row r="47" spans="1:31" s="11" customFormat="1" ht="15" x14ac:dyDescent="0.25">
      <c r="A47" s="31">
        <v>44</v>
      </c>
      <c r="B47" s="30" t="s">
        <v>203</v>
      </c>
      <c r="C47" s="29">
        <v>1</v>
      </c>
      <c r="D47" s="29" t="s">
        <v>35</v>
      </c>
      <c r="E47" s="29"/>
      <c r="F47" s="1" t="s">
        <v>356</v>
      </c>
      <c r="G47" s="1" t="s">
        <v>355</v>
      </c>
      <c r="H47" s="1" t="s">
        <v>199</v>
      </c>
      <c r="I47" s="1" t="s">
        <v>354</v>
      </c>
      <c r="J47" s="1"/>
      <c r="K47" s="56" t="s">
        <v>353</v>
      </c>
      <c r="L47" s="25" t="e">
        <f t="shared" si="5"/>
        <v>#REF!</v>
      </c>
      <c r="M47" s="24"/>
      <c r="N47" s="23" t="e">
        <f t="shared" si="6"/>
        <v>#REF!</v>
      </c>
      <c r="O47" s="22" t="e">
        <f t="shared" si="7"/>
        <v>#REF!</v>
      </c>
      <c r="P47" s="8"/>
      <c r="Q47" s="71"/>
      <c r="S47" s="8" t="b">
        <f t="shared" si="8"/>
        <v>1</v>
      </c>
      <c r="T47" s="8">
        <v>1</v>
      </c>
      <c r="U47" s="8" t="b">
        <f t="shared" si="9"/>
        <v>1</v>
      </c>
      <c r="V47" s="67" t="s">
        <v>203</v>
      </c>
      <c r="W47" s="67" t="s">
        <v>202</v>
      </c>
      <c r="X47" s="66" t="s">
        <v>200</v>
      </c>
      <c r="Y47" s="66" t="s">
        <v>201</v>
      </c>
      <c r="Z47" s="8" t="b">
        <v>1</v>
      </c>
      <c r="AA47" s="8"/>
      <c r="AB47" s="8" t="s">
        <v>200</v>
      </c>
      <c r="AC47" s="8" t="s">
        <v>199</v>
      </c>
      <c r="AD47" s="8"/>
      <c r="AE47" s="8"/>
    </row>
    <row r="48" spans="1:31" s="11" customFormat="1" ht="26.25" x14ac:dyDescent="0.25">
      <c r="A48" s="31">
        <v>45</v>
      </c>
      <c r="B48" s="30" t="s">
        <v>115</v>
      </c>
      <c r="C48" s="29">
        <v>1</v>
      </c>
      <c r="D48" s="29" t="s">
        <v>35</v>
      </c>
      <c r="E48" s="29"/>
      <c r="F48" s="28" t="s">
        <v>352</v>
      </c>
      <c r="G48" s="28" t="s">
        <v>333</v>
      </c>
      <c r="H48" s="1" t="s">
        <v>197</v>
      </c>
      <c r="I48" s="1" t="s">
        <v>351</v>
      </c>
      <c r="J48" s="27"/>
      <c r="K48" s="26"/>
      <c r="L48" s="25" t="e">
        <f t="shared" si="5"/>
        <v>#REF!</v>
      </c>
      <c r="M48" s="24"/>
      <c r="N48" s="23" t="e">
        <f t="shared" si="6"/>
        <v>#REF!</v>
      </c>
      <c r="O48" s="22" t="e">
        <f t="shared" si="7"/>
        <v>#REF!</v>
      </c>
      <c r="P48" s="8"/>
      <c r="S48" s="8" t="b">
        <f t="shared" si="8"/>
        <v>1</v>
      </c>
      <c r="T48" s="8">
        <v>1</v>
      </c>
      <c r="U48" s="8" t="b">
        <f t="shared" si="9"/>
        <v>1</v>
      </c>
      <c r="V48" s="67" t="s">
        <v>115</v>
      </c>
      <c r="W48" s="67" t="s">
        <v>198</v>
      </c>
      <c r="X48" s="66" t="s">
        <v>114</v>
      </c>
      <c r="Y48" s="66" t="s">
        <v>197</v>
      </c>
      <c r="Z48" s="8" t="b">
        <v>1</v>
      </c>
      <c r="AA48" s="8"/>
      <c r="AB48" s="8"/>
      <c r="AC48" s="8"/>
      <c r="AD48" s="8"/>
      <c r="AE48" s="8"/>
    </row>
    <row r="49" spans="1:31" s="11" customFormat="1" ht="15" x14ac:dyDescent="0.25">
      <c r="A49" s="31">
        <v>46</v>
      </c>
      <c r="B49" s="30" t="s">
        <v>196</v>
      </c>
      <c r="C49" s="29">
        <v>1</v>
      </c>
      <c r="D49" s="29" t="s">
        <v>35</v>
      </c>
      <c r="E49" s="29"/>
      <c r="F49" s="28" t="s">
        <v>350</v>
      </c>
      <c r="G49" s="28" t="s">
        <v>120</v>
      </c>
      <c r="H49" s="1" t="s">
        <v>194</v>
      </c>
      <c r="I49" s="1" t="s">
        <v>349</v>
      </c>
      <c r="J49" s="27"/>
      <c r="K49" s="26"/>
      <c r="L49" s="25" t="e">
        <f t="shared" si="5"/>
        <v>#REF!</v>
      </c>
      <c r="M49" s="24"/>
      <c r="N49" s="23" t="e">
        <f t="shared" si="6"/>
        <v>#REF!</v>
      </c>
      <c r="O49" s="22" t="e">
        <f t="shared" si="7"/>
        <v>#REF!</v>
      </c>
      <c r="P49" s="8"/>
      <c r="S49" s="8" t="b">
        <f t="shared" si="8"/>
        <v>1</v>
      </c>
      <c r="T49" s="8">
        <v>1</v>
      </c>
      <c r="U49" s="8" t="b">
        <f t="shared" si="9"/>
        <v>1</v>
      </c>
      <c r="V49" s="67" t="s">
        <v>196</v>
      </c>
      <c r="W49" s="67" t="s">
        <v>195</v>
      </c>
      <c r="X49" s="66" t="s">
        <v>120</v>
      </c>
      <c r="Y49" s="66" t="s">
        <v>194</v>
      </c>
      <c r="Z49" s="8" t="b">
        <v>1</v>
      </c>
      <c r="AA49" s="8"/>
      <c r="AB49" s="8"/>
      <c r="AC49" s="8"/>
      <c r="AD49" s="8"/>
      <c r="AE49" s="8"/>
    </row>
    <row r="50" spans="1:31" s="11" customFormat="1" ht="15" x14ac:dyDescent="0.25">
      <c r="A50" s="31">
        <v>47</v>
      </c>
      <c r="B50" s="30" t="s">
        <v>193</v>
      </c>
      <c r="C50" s="29">
        <v>1</v>
      </c>
      <c r="D50" s="29" t="s">
        <v>35</v>
      </c>
      <c r="E50" s="29"/>
      <c r="F50" s="28" t="s">
        <v>348</v>
      </c>
      <c r="G50" s="28" t="s">
        <v>109</v>
      </c>
      <c r="H50" s="1" t="s">
        <v>191</v>
      </c>
      <c r="I50" s="1" t="s">
        <v>347</v>
      </c>
      <c r="J50" s="27"/>
      <c r="K50" s="26"/>
      <c r="L50" s="25" t="e">
        <f t="shared" si="5"/>
        <v>#REF!</v>
      </c>
      <c r="M50" s="24"/>
      <c r="N50" s="23" t="e">
        <f t="shared" si="6"/>
        <v>#REF!</v>
      </c>
      <c r="O50" s="22" t="e">
        <f t="shared" si="7"/>
        <v>#REF!</v>
      </c>
      <c r="P50" s="8"/>
      <c r="S50" s="8" t="b">
        <f t="shared" si="8"/>
        <v>1</v>
      </c>
      <c r="T50" s="8">
        <v>1</v>
      </c>
      <c r="U50" s="8" t="b">
        <f t="shared" si="9"/>
        <v>1</v>
      </c>
      <c r="V50" s="67" t="s">
        <v>193</v>
      </c>
      <c r="W50" s="67" t="s">
        <v>192</v>
      </c>
      <c r="X50" s="66" t="s">
        <v>110</v>
      </c>
      <c r="Y50" s="66" t="s">
        <v>191</v>
      </c>
      <c r="Z50" s="8" t="b">
        <v>1</v>
      </c>
      <c r="AA50" s="8"/>
      <c r="AB50" s="8"/>
      <c r="AC50" s="8"/>
      <c r="AD50" s="8"/>
      <c r="AE50" s="8"/>
    </row>
    <row r="51" spans="1:31" s="11" customFormat="1" ht="26.25" x14ac:dyDescent="0.25">
      <c r="A51" s="31">
        <v>48</v>
      </c>
      <c r="B51" s="30" t="s">
        <v>116</v>
      </c>
      <c r="C51" s="29">
        <v>1</v>
      </c>
      <c r="D51" s="29" t="s">
        <v>35</v>
      </c>
      <c r="E51" s="29"/>
      <c r="F51" s="28" t="s">
        <v>346</v>
      </c>
      <c r="G51" s="28" t="s">
        <v>320</v>
      </c>
      <c r="H51" s="1" t="s">
        <v>189</v>
      </c>
      <c r="I51" s="1" t="s">
        <v>345</v>
      </c>
      <c r="J51" s="27"/>
      <c r="K51" s="26"/>
      <c r="L51" s="25" t="e">
        <f t="shared" si="5"/>
        <v>#REF!</v>
      </c>
      <c r="M51" s="24"/>
      <c r="N51" s="23" t="e">
        <f t="shared" si="6"/>
        <v>#REF!</v>
      </c>
      <c r="O51" s="22" t="e">
        <f t="shared" si="7"/>
        <v>#REF!</v>
      </c>
      <c r="P51" s="8"/>
      <c r="S51" s="8" t="b">
        <f t="shared" si="8"/>
        <v>1</v>
      </c>
      <c r="T51" s="8">
        <v>1</v>
      </c>
      <c r="U51" s="8" t="b">
        <f t="shared" si="9"/>
        <v>1</v>
      </c>
      <c r="V51" s="67" t="s">
        <v>116</v>
      </c>
      <c r="W51" s="67" t="s">
        <v>190</v>
      </c>
      <c r="X51" s="66" t="s">
        <v>158</v>
      </c>
      <c r="Y51" s="66" t="s">
        <v>189</v>
      </c>
      <c r="Z51" s="8" t="b">
        <v>1</v>
      </c>
      <c r="AA51" s="8"/>
      <c r="AB51" s="8"/>
      <c r="AC51" s="8"/>
      <c r="AD51" s="8"/>
      <c r="AE51" s="8"/>
    </row>
    <row r="52" spans="1:31" s="11" customFormat="1" ht="15" x14ac:dyDescent="0.25">
      <c r="A52" s="31">
        <v>49</v>
      </c>
      <c r="B52" s="30" t="s">
        <v>119</v>
      </c>
      <c r="C52" s="29">
        <v>1</v>
      </c>
      <c r="D52" s="29" t="s">
        <v>35</v>
      </c>
      <c r="E52" s="29"/>
      <c r="F52" s="28" t="s">
        <v>344</v>
      </c>
      <c r="G52" s="28" t="s">
        <v>341</v>
      </c>
      <c r="H52" s="1" t="s">
        <v>187</v>
      </c>
      <c r="I52" s="1" t="s">
        <v>343</v>
      </c>
      <c r="J52" s="27"/>
      <c r="K52" s="26"/>
      <c r="L52" s="25" t="e">
        <f t="shared" si="5"/>
        <v>#REF!</v>
      </c>
      <c r="M52" s="24"/>
      <c r="N52" s="23" t="e">
        <f t="shared" si="6"/>
        <v>#REF!</v>
      </c>
      <c r="O52" s="22" t="e">
        <f t="shared" si="7"/>
        <v>#REF!</v>
      </c>
      <c r="P52" s="8"/>
      <c r="S52" s="8" t="b">
        <f t="shared" si="8"/>
        <v>1</v>
      </c>
      <c r="T52" s="8">
        <v>1</v>
      </c>
      <c r="U52" s="8" t="b">
        <f t="shared" si="9"/>
        <v>1</v>
      </c>
      <c r="V52" s="67" t="s">
        <v>119</v>
      </c>
      <c r="W52" s="67" t="s">
        <v>188</v>
      </c>
      <c r="X52" s="66" t="s">
        <v>185</v>
      </c>
      <c r="Y52" s="66" t="s">
        <v>187</v>
      </c>
      <c r="Z52" s="8" t="b">
        <v>1</v>
      </c>
      <c r="AA52" s="8"/>
      <c r="AB52" s="8"/>
      <c r="AC52" s="8"/>
      <c r="AD52" s="8"/>
      <c r="AE52" s="8"/>
    </row>
    <row r="53" spans="1:31" s="11" customFormat="1" ht="15" x14ac:dyDescent="0.25">
      <c r="A53" s="31">
        <v>50</v>
      </c>
      <c r="B53" s="30" t="s">
        <v>123</v>
      </c>
      <c r="C53" s="29">
        <v>1</v>
      </c>
      <c r="D53" s="29" t="s">
        <v>35</v>
      </c>
      <c r="E53" s="29"/>
      <c r="F53" s="28" t="s">
        <v>342</v>
      </c>
      <c r="G53" s="28" t="s">
        <v>341</v>
      </c>
      <c r="H53" s="1" t="s">
        <v>184</v>
      </c>
      <c r="I53" s="1" t="s">
        <v>340</v>
      </c>
      <c r="J53" s="27"/>
      <c r="K53" s="26"/>
      <c r="L53" s="25" t="e">
        <f t="shared" si="5"/>
        <v>#REF!</v>
      </c>
      <c r="M53" s="24"/>
      <c r="N53" s="23" t="e">
        <f t="shared" si="6"/>
        <v>#REF!</v>
      </c>
      <c r="O53" s="22" t="e">
        <f t="shared" si="7"/>
        <v>#REF!</v>
      </c>
      <c r="P53" s="8"/>
      <c r="S53" s="8" t="b">
        <f t="shared" si="8"/>
        <v>1</v>
      </c>
      <c r="T53" s="8">
        <v>1</v>
      </c>
      <c r="U53" s="8" t="b">
        <f t="shared" si="9"/>
        <v>1</v>
      </c>
      <c r="V53" s="67" t="s">
        <v>123</v>
      </c>
      <c r="W53" s="67" t="s">
        <v>186</v>
      </c>
      <c r="X53" s="66" t="s">
        <v>185</v>
      </c>
      <c r="Y53" s="66" t="s">
        <v>184</v>
      </c>
      <c r="Z53" s="8" t="b">
        <v>1</v>
      </c>
      <c r="AA53" s="8"/>
      <c r="AB53" s="8"/>
      <c r="AC53" s="8"/>
      <c r="AD53" s="8"/>
      <c r="AE53" s="8"/>
    </row>
    <row r="54" spans="1:31" s="11" customFormat="1" ht="26.25" x14ac:dyDescent="0.25">
      <c r="A54" s="31">
        <v>51</v>
      </c>
      <c r="B54" s="30" t="s">
        <v>124</v>
      </c>
      <c r="C54" s="29">
        <v>1</v>
      </c>
      <c r="D54" s="29" t="s">
        <v>35</v>
      </c>
      <c r="E54" s="29"/>
      <c r="F54" s="28" t="s">
        <v>339</v>
      </c>
      <c r="G54" s="28" t="s">
        <v>338</v>
      </c>
      <c r="H54" s="1" t="s">
        <v>181</v>
      </c>
      <c r="I54" s="1" t="s">
        <v>337</v>
      </c>
      <c r="J54" s="27"/>
      <c r="K54" s="26"/>
      <c r="L54" s="25" t="e">
        <f t="shared" si="5"/>
        <v>#REF!</v>
      </c>
      <c r="M54" s="24"/>
      <c r="N54" s="23" t="e">
        <f t="shared" si="6"/>
        <v>#REF!</v>
      </c>
      <c r="O54" s="22" t="e">
        <f t="shared" si="7"/>
        <v>#REF!</v>
      </c>
      <c r="P54" s="8"/>
      <c r="S54" s="8" t="b">
        <f t="shared" si="8"/>
        <v>1</v>
      </c>
      <c r="T54" s="8">
        <v>1</v>
      </c>
      <c r="U54" s="8" t="b">
        <f t="shared" si="9"/>
        <v>1</v>
      </c>
      <c r="V54" s="67" t="s">
        <v>124</v>
      </c>
      <c r="W54" s="67" t="s">
        <v>183</v>
      </c>
      <c r="X54" s="66" t="s">
        <v>182</v>
      </c>
      <c r="Y54" s="66" t="s">
        <v>181</v>
      </c>
      <c r="Z54" s="8" t="b">
        <v>1</v>
      </c>
      <c r="AA54" s="8"/>
      <c r="AB54" s="8"/>
      <c r="AC54" s="8"/>
      <c r="AD54" s="8"/>
      <c r="AE54" s="8"/>
    </row>
    <row r="55" spans="1:31" s="11" customFormat="1" ht="15" x14ac:dyDescent="0.25">
      <c r="A55" s="31">
        <v>52</v>
      </c>
      <c r="B55" s="30" t="s">
        <v>127</v>
      </c>
      <c r="C55" s="29">
        <v>1</v>
      </c>
      <c r="D55" s="29" t="s">
        <v>35</v>
      </c>
      <c r="E55" s="29"/>
      <c r="F55" s="28" t="s">
        <v>336</v>
      </c>
      <c r="G55" s="28" t="s">
        <v>111</v>
      </c>
      <c r="H55" s="1" t="s">
        <v>177</v>
      </c>
      <c r="I55" s="1" t="s">
        <v>335</v>
      </c>
      <c r="J55" s="27"/>
      <c r="K55" s="26"/>
      <c r="L55" s="25" t="e">
        <f t="shared" si="5"/>
        <v>#REF!</v>
      </c>
      <c r="M55" s="24"/>
      <c r="N55" s="23" t="e">
        <f t="shared" si="6"/>
        <v>#REF!</v>
      </c>
      <c r="O55" s="22" t="e">
        <f t="shared" si="7"/>
        <v>#REF!</v>
      </c>
      <c r="P55" s="8"/>
      <c r="S55" s="8" t="b">
        <f t="shared" si="8"/>
        <v>1</v>
      </c>
      <c r="T55" s="8">
        <v>1</v>
      </c>
      <c r="U55" s="8" t="b">
        <f t="shared" si="9"/>
        <v>1</v>
      </c>
      <c r="V55" s="67" t="s">
        <v>127</v>
      </c>
      <c r="W55" s="67" t="s">
        <v>178</v>
      </c>
      <c r="X55" s="66" t="s">
        <v>112</v>
      </c>
      <c r="Y55" s="66" t="s">
        <v>177</v>
      </c>
      <c r="Z55" s="8" t="b">
        <v>1</v>
      </c>
      <c r="AA55" s="8"/>
      <c r="AB55" s="8"/>
      <c r="AC55" s="8"/>
      <c r="AD55" s="8"/>
      <c r="AE55" s="8"/>
    </row>
    <row r="56" spans="1:31" s="11" customFormat="1" ht="15" x14ac:dyDescent="0.25">
      <c r="A56" s="31">
        <v>53</v>
      </c>
      <c r="B56" s="30" t="s">
        <v>176</v>
      </c>
      <c r="C56" s="29">
        <v>2</v>
      </c>
      <c r="D56" s="29" t="s">
        <v>35</v>
      </c>
      <c r="E56" s="29"/>
      <c r="F56" s="28" t="s">
        <v>334</v>
      </c>
      <c r="G56" s="28" t="s">
        <v>333</v>
      </c>
      <c r="H56" s="1" t="s">
        <v>174</v>
      </c>
      <c r="I56" s="1" t="s">
        <v>332</v>
      </c>
      <c r="J56" s="27"/>
      <c r="K56" s="26"/>
      <c r="L56" s="25" t="e">
        <f t="shared" si="5"/>
        <v>#REF!</v>
      </c>
      <c r="M56" s="24"/>
      <c r="N56" s="23" t="e">
        <f t="shared" si="6"/>
        <v>#REF!</v>
      </c>
      <c r="O56" s="22" t="e">
        <f t="shared" si="7"/>
        <v>#REF!</v>
      </c>
      <c r="P56" s="8"/>
      <c r="S56" s="8" t="b">
        <f t="shared" si="8"/>
        <v>1</v>
      </c>
      <c r="T56" s="8">
        <v>2</v>
      </c>
      <c r="U56" s="8" t="b">
        <f t="shared" si="9"/>
        <v>1</v>
      </c>
      <c r="V56" s="67" t="s">
        <v>176</v>
      </c>
      <c r="W56" s="67" t="s">
        <v>175</v>
      </c>
      <c r="X56" s="66" t="s">
        <v>114</v>
      </c>
      <c r="Y56" s="66" t="s">
        <v>174</v>
      </c>
      <c r="Z56" s="8" t="b">
        <v>1</v>
      </c>
      <c r="AA56" s="8"/>
      <c r="AB56" s="8"/>
      <c r="AC56" s="8"/>
      <c r="AD56" s="8"/>
      <c r="AE56" s="8"/>
    </row>
    <row r="57" spans="1:31" s="11" customFormat="1" ht="26.25" x14ac:dyDescent="0.25">
      <c r="A57" s="31">
        <v>54</v>
      </c>
      <c r="B57" s="30" t="s">
        <v>173</v>
      </c>
      <c r="C57" s="29">
        <v>1</v>
      </c>
      <c r="D57" s="29" t="s">
        <v>35</v>
      </c>
      <c r="E57" s="29"/>
      <c r="F57" s="28" t="s">
        <v>331</v>
      </c>
      <c r="G57" s="28" t="s">
        <v>120</v>
      </c>
      <c r="H57" s="1" t="s">
        <v>171</v>
      </c>
      <c r="I57" s="1" t="s">
        <v>330</v>
      </c>
      <c r="J57" s="27"/>
      <c r="K57" s="33" t="s">
        <v>329</v>
      </c>
      <c r="L57" s="25" t="e">
        <f t="shared" si="5"/>
        <v>#REF!</v>
      </c>
      <c r="M57" s="24"/>
      <c r="N57" s="23" t="e">
        <f t="shared" si="6"/>
        <v>#REF!</v>
      </c>
      <c r="O57" s="22" t="e">
        <f t="shared" si="7"/>
        <v>#REF!</v>
      </c>
      <c r="P57" s="8"/>
      <c r="Q57" s="71"/>
      <c r="S57" s="8" t="b">
        <f t="shared" si="8"/>
        <v>1</v>
      </c>
      <c r="T57" s="8">
        <v>1</v>
      </c>
      <c r="U57" s="8" t="b">
        <f t="shared" si="9"/>
        <v>1</v>
      </c>
      <c r="V57" s="67" t="s">
        <v>173</v>
      </c>
      <c r="W57" s="67" t="s">
        <v>172</v>
      </c>
      <c r="X57" s="66" t="s">
        <v>120</v>
      </c>
      <c r="Y57" s="66" t="s">
        <v>171</v>
      </c>
      <c r="Z57" s="8" t="b">
        <v>1</v>
      </c>
      <c r="AA57" s="8"/>
      <c r="AB57" s="8"/>
      <c r="AC57" s="8"/>
      <c r="AD57" s="8"/>
      <c r="AE57" s="8"/>
    </row>
    <row r="58" spans="1:31" s="11" customFormat="1" ht="26.25" x14ac:dyDescent="0.25">
      <c r="A58" s="31">
        <v>55</v>
      </c>
      <c r="B58" s="30" t="s">
        <v>169</v>
      </c>
      <c r="C58" s="29">
        <v>1</v>
      </c>
      <c r="D58" s="29" t="s">
        <v>35</v>
      </c>
      <c r="E58" s="29"/>
      <c r="F58" s="28" t="s">
        <v>328</v>
      </c>
      <c r="G58" s="28" t="s">
        <v>61</v>
      </c>
      <c r="H58" s="1" t="s">
        <v>167</v>
      </c>
      <c r="I58" s="1" t="s">
        <v>327</v>
      </c>
      <c r="J58" s="27"/>
      <c r="K58" s="26"/>
      <c r="L58" s="25" t="e">
        <f t="shared" si="5"/>
        <v>#REF!</v>
      </c>
      <c r="M58" s="24"/>
      <c r="N58" s="23" t="e">
        <f t="shared" si="6"/>
        <v>#REF!</v>
      </c>
      <c r="O58" s="22" t="e">
        <f t="shared" si="7"/>
        <v>#REF!</v>
      </c>
      <c r="P58" s="8"/>
      <c r="S58" s="8" t="b">
        <f t="shared" si="8"/>
        <v>1</v>
      </c>
      <c r="T58" s="8">
        <v>1</v>
      </c>
      <c r="U58" s="8" t="b">
        <f t="shared" si="9"/>
        <v>1</v>
      </c>
      <c r="V58" s="67" t="s">
        <v>169</v>
      </c>
      <c r="W58" s="67" t="s">
        <v>168</v>
      </c>
      <c r="X58" s="66" t="s">
        <v>61</v>
      </c>
      <c r="Y58" s="66" t="s">
        <v>167</v>
      </c>
      <c r="Z58" s="8" t="b">
        <v>1</v>
      </c>
      <c r="AA58" s="8"/>
      <c r="AB58" s="8" t="s">
        <v>120</v>
      </c>
      <c r="AC58" s="8" t="s">
        <v>170</v>
      </c>
      <c r="AD58" s="8"/>
      <c r="AE58" s="8"/>
    </row>
    <row r="59" spans="1:31" s="11" customFormat="1" ht="15" x14ac:dyDescent="0.25">
      <c r="A59" s="31">
        <v>56</v>
      </c>
      <c r="B59" s="30" t="s">
        <v>166</v>
      </c>
      <c r="C59" s="29">
        <v>1</v>
      </c>
      <c r="D59" s="29" t="s">
        <v>35</v>
      </c>
      <c r="E59" s="29"/>
      <c r="F59" s="70" t="s">
        <v>326</v>
      </c>
      <c r="G59" s="28" t="s">
        <v>317</v>
      </c>
      <c r="H59" s="1" t="s">
        <v>164</v>
      </c>
      <c r="I59" s="1" t="s">
        <v>325</v>
      </c>
      <c r="J59" s="27"/>
      <c r="K59" s="26"/>
      <c r="L59" s="25" t="e">
        <f t="shared" si="5"/>
        <v>#REF!</v>
      </c>
      <c r="M59" s="24"/>
      <c r="N59" s="23" t="e">
        <f t="shared" si="6"/>
        <v>#REF!</v>
      </c>
      <c r="O59" s="22" t="e">
        <f t="shared" si="7"/>
        <v>#REF!</v>
      </c>
      <c r="P59" s="8"/>
      <c r="S59" s="8" t="b">
        <f t="shared" si="8"/>
        <v>1</v>
      </c>
      <c r="T59" s="8">
        <v>1</v>
      </c>
      <c r="U59" s="8" t="b">
        <f t="shared" si="9"/>
        <v>1</v>
      </c>
      <c r="V59" s="67" t="s">
        <v>166</v>
      </c>
      <c r="W59" s="67" t="s">
        <v>165</v>
      </c>
      <c r="X59" s="66" t="s">
        <v>68</v>
      </c>
      <c r="Y59" s="66" t="s">
        <v>164</v>
      </c>
      <c r="Z59" s="8" t="b">
        <v>1</v>
      </c>
      <c r="AA59" s="8"/>
      <c r="AB59" s="8"/>
      <c r="AC59" s="8"/>
      <c r="AD59" s="8"/>
      <c r="AE59" s="8"/>
    </row>
    <row r="60" spans="1:31" s="11" customFormat="1" ht="26.25" x14ac:dyDescent="0.25">
      <c r="A60" s="31">
        <v>57</v>
      </c>
      <c r="B60" s="30" t="s">
        <v>163</v>
      </c>
      <c r="C60" s="29">
        <v>1</v>
      </c>
      <c r="D60" s="29" t="s">
        <v>35</v>
      </c>
      <c r="E60" s="29"/>
      <c r="F60" s="28" t="s">
        <v>324</v>
      </c>
      <c r="G60" s="28" t="s">
        <v>323</v>
      </c>
      <c r="H60" s="1" t="s">
        <v>161</v>
      </c>
      <c r="I60" s="1" t="s">
        <v>322</v>
      </c>
      <c r="J60" s="27"/>
      <c r="K60" s="26"/>
      <c r="L60" s="25" t="e">
        <f t="shared" si="5"/>
        <v>#REF!</v>
      </c>
      <c r="M60" s="24"/>
      <c r="N60" s="23" t="e">
        <f t="shared" si="6"/>
        <v>#REF!</v>
      </c>
      <c r="O60" s="22" t="e">
        <f t="shared" si="7"/>
        <v>#REF!</v>
      </c>
      <c r="P60" s="8"/>
      <c r="S60" s="8" t="b">
        <f t="shared" si="8"/>
        <v>1</v>
      </c>
      <c r="T60" s="8">
        <v>1</v>
      </c>
      <c r="U60" s="8" t="b">
        <f t="shared" si="9"/>
        <v>1</v>
      </c>
      <c r="V60" s="67" t="s">
        <v>163</v>
      </c>
      <c r="W60" s="67" t="s">
        <v>162</v>
      </c>
      <c r="X60" s="66" t="s">
        <v>125</v>
      </c>
      <c r="Y60" s="66" t="s">
        <v>161</v>
      </c>
      <c r="Z60" s="8" t="b">
        <v>1</v>
      </c>
      <c r="AA60" s="8"/>
      <c r="AB60" s="8"/>
      <c r="AC60" s="8"/>
      <c r="AD60" s="8"/>
      <c r="AE60" s="8"/>
    </row>
    <row r="61" spans="1:31" s="11" customFormat="1" ht="15" x14ac:dyDescent="0.25">
      <c r="A61" s="31">
        <v>58</v>
      </c>
      <c r="B61" s="30" t="s">
        <v>160</v>
      </c>
      <c r="C61" s="29">
        <v>1</v>
      </c>
      <c r="D61" s="29" t="s">
        <v>35</v>
      </c>
      <c r="E61" s="29"/>
      <c r="F61" s="28" t="s">
        <v>321</v>
      </c>
      <c r="G61" s="28" t="s">
        <v>320</v>
      </c>
      <c r="H61" s="1" t="s">
        <v>157</v>
      </c>
      <c r="I61" s="70" t="s">
        <v>319</v>
      </c>
      <c r="J61" s="27"/>
      <c r="K61" s="26"/>
      <c r="L61" s="25" t="e">
        <f t="shared" si="5"/>
        <v>#REF!</v>
      </c>
      <c r="M61" s="24"/>
      <c r="N61" s="23" t="e">
        <f t="shared" si="6"/>
        <v>#REF!</v>
      </c>
      <c r="O61" s="22" t="e">
        <f t="shared" si="7"/>
        <v>#REF!</v>
      </c>
      <c r="P61" s="8"/>
      <c r="S61" s="8" t="b">
        <f t="shared" si="8"/>
        <v>1</v>
      </c>
      <c r="T61" s="8">
        <v>1</v>
      </c>
      <c r="U61" s="8" t="b">
        <f t="shared" si="9"/>
        <v>1</v>
      </c>
      <c r="V61" s="67" t="s">
        <v>160</v>
      </c>
      <c r="W61" s="67" t="s">
        <v>159</v>
      </c>
      <c r="X61" s="66" t="s">
        <v>158</v>
      </c>
      <c r="Y61" s="66" t="s">
        <v>157</v>
      </c>
      <c r="Z61" s="8" t="b">
        <v>1</v>
      </c>
      <c r="AA61" s="8"/>
      <c r="AB61" s="8"/>
      <c r="AC61" s="8"/>
      <c r="AD61" s="8"/>
      <c r="AE61" s="8"/>
    </row>
    <row r="62" spans="1:31" s="11" customFormat="1" ht="15" x14ac:dyDescent="0.25">
      <c r="A62" s="31">
        <v>59</v>
      </c>
      <c r="B62" s="30" t="s">
        <v>156</v>
      </c>
      <c r="C62" s="29">
        <v>1</v>
      </c>
      <c r="D62" s="29" t="s">
        <v>35</v>
      </c>
      <c r="E62" s="29"/>
      <c r="F62" s="28" t="s">
        <v>318</v>
      </c>
      <c r="G62" s="28" t="s">
        <v>317</v>
      </c>
      <c r="H62" s="1" t="s">
        <v>154</v>
      </c>
      <c r="I62" s="1" t="s">
        <v>316</v>
      </c>
      <c r="J62" s="27"/>
      <c r="K62" s="26"/>
      <c r="L62" s="25" t="e">
        <f t="shared" si="5"/>
        <v>#REF!</v>
      </c>
      <c r="M62" s="24"/>
      <c r="N62" s="23" t="e">
        <f t="shared" si="6"/>
        <v>#REF!</v>
      </c>
      <c r="O62" s="22" t="e">
        <f t="shared" si="7"/>
        <v>#REF!</v>
      </c>
      <c r="P62" s="8"/>
      <c r="S62" s="8" t="b">
        <f t="shared" si="8"/>
        <v>1</v>
      </c>
      <c r="T62" s="8">
        <v>1</v>
      </c>
      <c r="U62" s="8" t="b">
        <f t="shared" si="9"/>
        <v>1</v>
      </c>
      <c r="V62" s="67" t="s">
        <v>156</v>
      </c>
      <c r="W62" s="67" t="s">
        <v>155</v>
      </c>
      <c r="X62" s="66" t="s">
        <v>68</v>
      </c>
      <c r="Y62" s="66" t="s">
        <v>154</v>
      </c>
      <c r="Z62" s="8" t="b">
        <v>1</v>
      </c>
      <c r="AA62" s="8"/>
      <c r="AB62" s="8"/>
      <c r="AC62" s="8"/>
      <c r="AD62" s="8"/>
      <c r="AE62" s="8"/>
    </row>
    <row r="63" spans="1:31" s="11" customFormat="1" ht="15" x14ac:dyDescent="0.25">
      <c r="A63" s="31">
        <v>60</v>
      </c>
      <c r="B63" s="30" t="s">
        <v>151</v>
      </c>
      <c r="C63" s="29">
        <v>1</v>
      </c>
      <c r="D63" s="29" t="s">
        <v>35</v>
      </c>
      <c r="E63" s="29"/>
      <c r="F63" s="28" t="s">
        <v>128</v>
      </c>
      <c r="G63" s="28" t="s">
        <v>129</v>
      </c>
      <c r="H63" s="1" t="s">
        <v>315</v>
      </c>
      <c r="I63" s="1" t="s">
        <v>314</v>
      </c>
      <c r="J63" s="27"/>
      <c r="K63" s="33" t="s">
        <v>313</v>
      </c>
      <c r="L63" s="25" t="e">
        <f t="shared" si="5"/>
        <v>#REF!</v>
      </c>
      <c r="M63" s="24"/>
      <c r="N63" s="23" t="e">
        <f t="shared" si="6"/>
        <v>#REF!</v>
      </c>
      <c r="O63" s="22" t="e">
        <f t="shared" si="7"/>
        <v>#REF!</v>
      </c>
      <c r="P63" s="8"/>
      <c r="S63" s="8" t="b">
        <f t="shared" si="8"/>
        <v>1</v>
      </c>
      <c r="T63" s="8">
        <v>1</v>
      </c>
      <c r="U63" s="8" t="b">
        <f t="shared" si="9"/>
        <v>1</v>
      </c>
      <c r="V63" s="67" t="s">
        <v>151</v>
      </c>
      <c r="W63" s="67" t="s">
        <v>128</v>
      </c>
      <c r="X63" s="66" t="s">
        <v>129</v>
      </c>
      <c r="Y63" s="66" t="s">
        <v>257</v>
      </c>
      <c r="AA63" s="8"/>
      <c r="AB63" s="8"/>
      <c r="AC63" s="8"/>
      <c r="AD63" s="8"/>
      <c r="AE63" s="8"/>
    </row>
    <row r="64" spans="1:31" s="59" customFormat="1" ht="15" x14ac:dyDescent="0.25">
      <c r="A64" s="31">
        <v>61</v>
      </c>
      <c r="B64" s="30" t="s">
        <v>253</v>
      </c>
      <c r="C64" s="29">
        <v>2</v>
      </c>
      <c r="D64" s="29" t="s">
        <v>35</v>
      </c>
      <c r="E64" s="29"/>
      <c r="F64" s="28" t="s">
        <v>312</v>
      </c>
      <c r="G64" s="28" t="s">
        <v>311</v>
      </c>
      <c r="H64" s="1" t="s">
        <v>310</v>
      </c>
      <c r="I64" s="1" t="s">
        <v>309</v>
      </c>
      <c r="J64" s="27"/>
      <c r="K64" s="33" t="s">
        <v>308</v>
      </c>
      <c r="L64" s="25" t="e">
        <f t="shared" si="5"/>
        <v>#REF!</v>
      </c>
      <c r="M64" s="24"/>
      <c r="N64" s="23" t="e">
        <f t="shared" si="6"/>
        <v>#REF!</v>
      </c>
      <c r="O64" s="22" t="e">
        <f t="shared" si="7"/>
        <v>#REF!</v>
      </c>
      <c r="P64" s="8"/>
      <c r="Q64" s="11"/>
      <c r="R64" s="11"/>
      <c r="S64" s="8" t="b">
        <f t="shared" si="8"/>
        <v>1</v>
      </c>
      <c r="T64" s="8">
        <v>2</v>
      </c>
      <c r="U64" s="8" t="b">
        <f t="shared" si="9"/>
        <v>1</v>
      </c>
      <c r="V64" s="67" t="s">
        <v>253</v>
      </c>
      <c r="W64" s="67" t="s">
        <v>252</v>
      </c>
      <c r="X64" s="65"/>
      <c r="Y64" s="65"/>
      <c r="Z64" s="65"/>
      <c r="AA64" s="65"/>
      <c r="AB64" s="65"/>
      <c r="AC64" s="65"/>
      <c r="AD64" s="8"/>
      <c r="AE64" s="8"/>
    </row>
    <row r="65" spans="1:28" s="65" customFormat="1" ht="52.5" thickBot="1" x14ac:dyDescent="0.3">
      <c r="A65" s="21">
        <v>62</v>
      </c>
      <c r="B65" s="20" t="s">
        <v>126</v>
      </c>
      <c r="C65" s="19">
        <v>1</v>
      </c>
      <c r="D65" s="19" t="s">
        <v>35</v>
      </c>
      <c r="E65" s="19"/>
      <c r="F65" s="18" t="s">
        <v>307</v>
      </c>
      <c r="G65" s="18" t="s">
        <v>122</v>
      </c>
      <c r="H65" s="2" t="s">
        <v>179</v>
      </c>
      <c r="I65" s="2" t="s">
        <v>306</v>
      </c>
      <c r="J65" s="69"/>
      <c r="K65" s="68" t="s">
        <v>305</v>
      </c>
      <c r="L65" s="17" t="e">
        <f t="shared" si="5"/>
        <v>#REF!</v>
      </c>
      <c r="M65" s="16"/>
      <c r="N65" s="15" t="e">
        <f t="shared" si="6"/>
        <v>#REF!</v>
      </c>
      <c r="O65" s="14" t="e">
        <f t="shared" si="7"/>
        <v>#REF!</v>
      </c>
      <c r="P65" s="8"/>
      <c r="Q65" s="11"/>
      <c r="R65" s="11"/>
      <c r="S65" s="8" t="b">
        <f t="shared" si="8"/>
        <v>1</v>
      </c>
      <c r="T65" s="8">
        <v>1</v>
      </c>
      <c r="U65" s="8" t="b">
        <f t="shared" si="9"/>
        <v>1</v>
      </c>
      <c r="V65" s="67" t="s">
        <v>126</v>
      </c>
      <c r="W65" s="67" t="s">
        <v>180</v>
      </c>
      <c r="X65" s="66" t="s">
        <v>121</v>
      </c>
      <c r="Y65" s="66" t="s">
        <v>179</v>
      </c>
      <c r="Z65" s="8" t="b">
        <v>1</v>
      </c>
    </row>
    <row r="66" spans="1:28" s="11" customFormat="1" ht="15" x14ac:dyDescent="0.25">
      <c r="B66" s="13"/>
      <c r="C66" s="12">
        <f>SUM(C5:C65)</f>
        <v>139</v>
      </c>
      <c r="N66" s="12"/>
      <c r="Y66" s="8"/>
      <c r="Z66" s="8"/>
      <c r="AA66" s="8"/>
      <c r="AB66" s="8"/>
    </row>
    <row r="67" spans="1:28" s="11" customFormat="1" ht="15" x14ac:dyDescent="0.25">
      <c r="B67" s="13"/>
      <c r="C67" s="12"/>
      <c r="N67" s="12"/>
      <c r="Y67" s="8"/>
      <c r="Z67" s="8"/>
      <c r="AA67" s="8"/>
      <c r="AB67" s="8"/>
    </row>
    <row r="68" spans="1:28" s="11" customFormat="1" ht="15" x14ac:dyDescent="0.25">
      <c r="B68" s="13"/>
      <c r="C68" s="12"/>
      <c r="N68" s="12"/>
      <c r="Z68" s="8"/>
      <c r="AA68" s="8"/>
      <c r="AB68" s="8"/>
    </row>
    <row r="69" spans="1:28" s="11" customFormat="1" ht="15" x14ac:dyDescent="0.25">
      <c r="B69" s="13"/>
      <c r="C69" s="12"/>
      <c r="N69" s="12"/>
      <c r="Y69" s="8"/>
      <c r="Z69" s="8"/>
      <c r="AA69" s="8"/>
      <c r="AB69" s="8"/>
    </row>
    <row r="70" spans="1:28" s="11" customFormat="1" ht="15" x14ac:dyDescent="0.25">
      <c r="B70" s="13" t="s">
        <v>304</v>
      </c>
      <c r="C70" s="12"/>
      <c r="N70" s="12"/>
      <c r="Y70" s="8"/>
      <c r="Z70" s="8"/>
      <c r="AA70" s="8"/>
      <c r="AB70" s="8"/>
    </row>
    <row r="71" spans="1:28" s="59" customFormat="1" ht="15" x14ac:dyDescent="0.25">
      <c r="A71" s="31">
        <v>12</v>
      </c>
      <c r="B71" s="30" t="s">
        <v>303</v>
      </c>
      <c r="C71" s="29">
        <v>0</v>
      </c>
      <c r="D71" s="29" t="s">
        <v>35</v>
      </c>
      <c r="E71" s="29"/>
      <c r="F71" s="28" t="s">
        <v>302</v>
      </c>
      <c r="G71" s="28" t="s">
        <v>301</v>
      </c>
      <c r="H71" s="1" t="s">
        <v>300</v>
      </c>
      <c r="I71" s="1" t="s">
        <v>299</v>
      </c>
      <c r="J71" s="27"/>
      <c r="K71" s="64" t="s">
        <v>298</v>
      </c>
      <c r="L71" s="63" t="e">
        <f>+$L$2*C71</f>
        <v>#REF!</v>
      </c>
      <c r="M71" s="62"/>
      <c r="N71" s="61" t="e">
        <f>IF((L71-M71)&gt;0,-(L71-M71),0)</f>
        <v>#REF!</v>
      </c>
      <c r="O71" s="60" t="e">
        <f>IF((M71-N71)&gt;0,-(L71-(M71-N71)),0)</f>
        <v>#REF!</v>
      </c>
      <c r="Q71" s="11"/>
      <c r="R71" s="11"/>
      <c r="S71" s="11"/>
      <c r="T71" s="11"/>
      <c r="U71" s="11"/>
      <c r="V71" s="11"/>
      <c r="Y71" s="8"/>
      <c r="Z71" s="8"/>
      <c r="AA71" s="8"/>
      <c r="AB71" s="8"/>
    </row>
    <row r="72" spans="1:28" s="11" customFormat="1" ht="15" x14ac:dyDescent="0.25">
      <c r="B72" s="13"/>
      <c r="C72" s="12"/>
      <c r="N72" s="12"/>
    </row>
    <row r="73" spans="1:28" s="11" customFormat="1" ht="15" x14ac:dyDescent="0.25">
      <c r="B73" s="13"/>
      <c r="C73" s="12"/>
      <c r="N73" s="12"/>
    </row>
    <row r="74" spans="1:28" s="11" customFormat="1" ht="15" x14ac:dyDescent="0.25">
      <c r="B74" s="13"/>
      <c r="C74" s="12"/>
      <c r="N74" s="12"/>
    </row>
    <row r="75" spans="1:28" s="11" customFormat="1" ht="15" x14ac:dyDescent="0.25">
      <c r="B75" s="13"/>
      <c r="C75" s="12"/>
      <c r="N75" s="12"/>
    </row>
    <row r="76" spans="1:28" s="11" customFormat="1" ht="15" x14ac:dyDescent="0.25">
      <c r="B76" s="13"/>
      <c r="C76" s="12"/>
      <c r="N76" s="12"/>
    </row>
    <row r="77" spans="1:28" s="11" customFormat="1" ht="15" x14ac:dyDescent="0.25">
      <c r="B77" s="13"/>
      <c r="C77" s="12"/>
      <c r="N77" s="12"/>
    </row>
    <row r="78" spans="1:28" s="11" customFormat="1" ht="15" x14ac:dyDescent="0.25">
      <c r="B78" s="13"/>
      <c r="C78" s="12"/>
      <c r="N78" s="12"/>
    </row>
    <row r="79" spans="1:28" s="11" customFormat="1" ht="15" x14ac:dyDescent="0.25">
      <c r="B79" s="13"/>
      <c r="C79" s="12"/>
      <c r="N79" s="12"/>
    </row>
    <row r="80" spans="1:28" s="11" customFormat="1" ht="15" x14ac:dyDescent="0.25">
      <c r="B80" s="13"/>
      <c r="C80" s="12"/>
      <c r="N80" s="12"/>
    </row>
    <row r="81" spans="2:14" s="11" customFormat="1" ht="15" x14ac:dyDescent="0.25">
      <c r="B81" s="13"/>
      <c r="C81" s="12"/>
      <c r="N81" s="12"/>
    </row>
    <row r="82" spans="2:14" s="11" customFormat="1" ht="15" x14ac:dyDescent="0.25">
      <c r="B82" s="13"/>
      <c r="C82" s="12"/>
      <c r="N82" s="12"/>
    </row>
    <row r="83" spans="2:14" s="11" customFormat="1" ht="15" x14ac:dyDescent="0.25">
      <c r="B83" s="13"/>
      <c r="C83" s="12"/>
      <c r="N83" s="12"/>
    </row>
    <row r="84" spans="2:14" s="11" customFormat="1" ht="15" x14ac:dyDescent="0.25">
      <c r="B84" s="13"/>
      <c r="C84" s="12"/>
      <c r="N84" s="12"/>
    </row>
    <row r="85" spans="2:14" s="11" customFormat="1" ht="15" x14ac:dyDescent="0.25">
      <c r="B85" s="13"/>
      <c r="C85" s="12"/>
      <c r="N85" s="12"/>
    </row>
    <row r="86" spans="2:14" s="11" customFormat="1" ht="15" x14ac:dyDescent="0.25">
      <c r="B86" s="13"/>
      <c r="C86" s="12"/>
      <c r="N86" s="12"/>
    </row>
    <row r="87" spans="2:14" s="11" customFormat="1" ht="15" x14ac:dyDescent="0.25">
      <c r="B87" s="13"/>
      <c r="C87" s="12"/>
      <c r="N87" s="12"/>
    </row>
    <row r="88" spans="2:14" s="11" customFormat="1" ht="15" x14ac:dyDescent="0.25">
      <c r="B88" s="13"/>
      <c r="C88" s="12"/>
      <c r="N88" s="12"/>
    </row>
    <row r="89" spans="2:14" s="11" customFormat="1" ht="15" x14ac:dyDescent="0.25">
      <c r="B89" s="13"/>
      <c r="C89" s="12"/>
      <c r="N89" s="12"/>
    </row>
    <row r="90" spans="2:14" s="11" customFormat="1" ht="15" x14ac:dyDescent="0.25">
      <c r="B90" s="13"/>
      <c r="C90" s="12"/>
      <c r="N90" s="12"/>
    </row>
    <row r="91" spans="2:14" s="11" customFormat="1" ht="15" x14ac:dyDescent="0.25">
      <c r="B91" s="13"/>
      <c r="C91" s="12"/>
      <c r="N91" s="12"/>
    </row>
    <row r="92" spans="2:14" s="11" customFormat="1" ht="15" x14ac:dyDescent="0.25">
      <c r="B92" s="13"/>
      <c r="C92" s="12"/>
      <c r="N92" s="12"/>
    </row>
    <row r="93" spans="2:14" s="11" customFormat="1" ht="15" x14ac:dyDescent="0.25">
      <c r="B93" s="13"/>
      <c r="C93" s="12"/>
      <c r="N93" s="12"/>
    </row>
    <row r="94" spans="2:14" s="11" customFormat="1" ht="15" x14ac:dyDescent="0.25">
      <c r="B94" s="13"/>
      <c r="C94" s="12"/>
      <c r="N94" s="12"/>
    </row>
    <row r="95" spans="2:14" s="11" customFormat="1" ht="15" x14ac:dyDescent="0.25">
      <c r="B95" s="13"/>
      <c r="C95" s="12"/>
      <c r="N95" s="12"/>
    </row>
    <row r="96" spans="2:14" s="11" customFormat="1" ht="15" x14ac:dyDescent="0.25">
      <c r="B96" s="13"/>
      <c r="C96" s="12"/>
      <c r="N96" s="12"/>
    </row>
    <row r="97" spans="2:14" s="11" customFormat="1" ht="15" x14ac:dyDescent="0.25">
      <c r="B97" s="13"/>
      <c r="C97" s="12"/>
      <c r="N97" s="12"/>
    </row>
    <row r="98" spans="2:14" s="11" customFormat="1" ht="15" x14ac:dyDescent="0.25">
      <c r="B98" s="13"/>
      <c r="C98" s="12"/>
      <c r="N98" s="12"/>
    </row>
    <row r="99" spans="2:14" s="11" customFormat="1" ht="15" x14ac:dyDescent="0.25">
      <c r="B99" s="13"/>
      <c r="C99" s="12"/>
      <c r="N99" s="12"/>
    </row>
    <row r="100" spans="2:14" s="11" customFormat="1" ht="15" x14ac:dyDescent="0.25">
      <c r="B100" s="13"/>
      <c r="C100" s="12"/>
      <c r="N100" s="12"/>
    </row>
    <row r="101" spans="2:14" s="11" customFormat="1" ht="15" x14ac:dyDescent="0.25">
      <c r="B101" s="13"/>
      <c r="C101" s="12"/>
      <c r="N101" s="12"/>
    </row>
    <row r="102" spans="2:14" s="11" customFormat="1" ht="15" x14ac:dyDescent="0.25">
      <c r="B102" s="13"/>
      <c r="C102" s="12"/>
      <c r="N102" s="12"/>
    </row>
    <row r="103" spans="2:14" s="11" customFormat="1" ht="15" x14ac:dyDescent="0.25">
      <c r="B103" s="13"/>
      <c r="C103" s="12"/>
      <c r="N103" s="12"/>
    </row>
    <row r="104" spans="2:14" s="11" customFormat="1" ht="15" x14ac:dyDescent="0.25">
      <c r="B104" s="13"/>
      <c r="C104" s="12"/>
      <c r="N104" s="12"/>
    </row>
    <row r="105" spans="2:14" s="11" customFormat="1" ht="15" x14ac:dyDescent="0.25">
      <c r="B105" s="13"/>
      <c r="C105" s="12"/>
      <c r="N105" s="12"/>
    </row>
    <row r="106" spans="2:14" s="11" customFormat="1" ht="15" x14ac:dyDescent="0.25">
      <c r="B106" s="13"/>
      <c r="C106" s="12"/>
      <c r="N106" s="12"/>
    </row>
    <row r="107" spans="2:14" s="11" customFormat="1" ht="15" x14ac:dyDescent="0.25">
      <c r="B107" s="13"/>
      <c r="C107" s="12"/>
      <c r="N107" s="12"/>
    </row>
    <row r="108" spans="2:14" s="11" customFormat="1" ht="15" x14ac:dyDescent="0.25">
      <c r="B108" s="13"/>
      <c r="C108" s="12"/>
      <c r="N108" s="12"/>
    </row>
    <row r="109" spans="2:14" s="11" customFormat="1" ht="15" x14ac:dyDescent="0.25">
      <c r="B109" s="13"/>
      <c r="C109" s="12"/>
      <c r="N109" s="12"/>
    </row>
    <row r="110" spans="2:14" s="11" customFormat="1" ht="15" x14ac:dyDescent="0.25">
      <c r="B110" s="13"/>
      <c r="C110" s="12"/>
      <c r="N110" s="12"/>
    </row>
    <row r="111" spans="2:14" s="11" customFormat="1" ht="15" x14ac:dyDescent="0.25">
      <c r="B111" s="13"/>
      <c r="C111" s="12"/>
      <c r="N111" s="12"/>
    </row>
    <row r="112" spans="2:14" s="11" customFormat="1" ht="15" x14ac:dyDescent="0.25">
      <c r="B112" s="13"/>
      <c r="C112" s="12"/>
      <c r="N112" s="12"/>
    </row>
    <row r="113" spans="2:14" s="11" customFormat="1" ht="15" x14ac:dyDescent="0.25">
      <c r="B113" s="13"/>
      <c r="C113" s="12"/>
      <c r="N113" s="12"/>
    </row>
    <row r="114" spans="2:14" s="11" customFormat="1" ht="15" x14ac:dyDescent="0.25">
      <c r="B114" s="13"/>
      <c r="C114" s="12"/>
      <c r="N114" s="12"/>
    </row>
    <row r="115" spans="2:14" s="11" customFormat="1" ht="15" x14ac:dyDescent="0.25">
      <c r="B115" s="13"/>
      <c r="C115" s="12"/>
      <c r="N115" s="12"/>
    </row>
    <row r="116" spans="2:14" s="11" customFormat="1" ht="15" x14ac:dyDescent="0.25">
      <c r="B116" s="13"/>
      <c r="C116" s="12"/>
      <c r="N116" s="12"/>
    </row>
    <row r="117" spans="2:14" s="11" customFormat="1" ht="15" x14ac:dyDescent="0.25">
      <c r="B117" s="13"/>
      <c r="C117" s="12"/>
      <c r="N117" s="12"/>
    </row>
    <row r="118" spans="2:14" s="11" customFormat="1" ht="15" x14ac:dyDescent="0.25">
      <c r="B118" s="13"/>
      <c r="C118" s="12"/>
      <c r="N118" s="12"/>
    </row>
    <row r="119" spans="2:14" s="11" customFormat="1" ht="15" x14ac:dyDescent="0.25">
      <c r="B119" s="13"/>
      <c r="C119" s="12"/>
      <c r="N119" s="12"/>
    </row>
    <row r="120" spans="2:14" s="11" customFormat="1" ht="15" x14ac:dyDescent="0.25">
      <c r="B120" s="13"/>
      <c r="C120" s="12"/>
      <c r="N120" s="12"/>
    </row>
    <row r="121" spans="2:14" s="11" customFormat="1" ht="15" x14ac:dyDescent="0.25">
      <c r="B121" s="13"/>
      <c r="C121" s="12"/>
      <c r="N121" s="12"/>
    </row>
    <row r="122" spans="2:14" s="11" customFormat="1" ht="15" x14ac:dyDescent="0.25">
      <c r="B122" s="13"/>
      <c r="C122" s="12"/>
      <c r="N122" s="12"/>
    </row>
    <row r="123" spans="2:14" s="11" customFormat="1" ht="15" x14ac:dyDescent="0.25">
      <c r="B123" s="13"/>
      <c r="C123" s="12"/>
      <c r="N123" s="12"/>
    </row>
    <row r="124" spans="2:14" s="11" customFormat="1" ht="15" x14ac:dyDescent="0.25">
      <c r="B124" s="13"/>
      <c r="C124" s="12"/>
      <c r="N124" s="12"/>
    </row>
    <row r="125" spans="2:14" s="11" customFormat="1" ht="15" x14ac:dyDescent="0.25">
      <c r="B125" s="13"/>
      <c r="C125" s="12"/>
      <c r="N125" s="12"/>
    </row>
    <row r="126" spans="2:14" s="11" customFormat="1" ht="15" x14ac:dyDescent="0.25">
      <c r="B126" s="13"/>
      <c r="C126" s="12"/>
      <c r="N126" s="12"/>
    </row>
    <row r="127" spans="2:14" s="11" customFormat="1" ht="15" x14ac:dyDescent="0.25">
      <c r="B127" s="13"/>
      <c r="C127" s="12"/>
      <c r="N127" s="12"/>
    </row>
    <row r="128" spans="2:14" s="11" customFormat="1" ht="15" x14ac:dyDescent="0.25">
      <c r="B128" s="13"/>
      <c r="C128" s="12"/>
      <c r="N128" s="12"/>
    </row>
    <row r="129" spans="2:14" s="11" customFormat="1" ht="15" x14ac:dyDescent="0.25">
      <c r="B129" s="13"/>
      <c r="C129" s="12"/>
      <c r="N129" s="12"/>
    </row>
    <row r="130" spans="2:14" s="11" customFormat="1" ht="15" x14ac:dyDescent="0.25">
      <c r="B130" s="13"/>
      <c r="C130" s="12"/>
      <c r="N130" s="12"/>
    </row>
    <row r="131" spans="2:14" s="11" customFormat="1" ht="15" x14ac:dyDescent="0.25">
      <c r="B131" s="13"/>
      <c r="C131" s="12"/>
      <c r="N131" s="12"/>
    </row>
    <row r="132" spans="2:14" s="11" customFormat="1" ht="15" x14ac:dyDescent="0.25">
      <c r="B132" s="13"/>
      <c r="C132" s="12"/>
      <c r="N132" s="12"/>
    </row>
    <row r="133" spans="2:14" s="11" customFormat="1" ht="15" x14ac:dyDescent="0.25">
      <c r="B133" s="13"/>
      <c r="C133" s="12"/>
      <c r="N133" s="12"/>
    </row>
    <row r="134" spans="2:14" s="11" customFormat="1" ht="15" x14ac:dyDescent="0.25">
      <c r="B134" s="13"/>
      <c r="C134" s="12"/>
      <c r="N134" s="12"/>
    </row>
    <row r="135" spans="2:14" s="11" customFormat="1" ht="15" x14ac:dyDescent="0.25">
      <c r="B135" s="13"/>
      <c r="C135" s="12"/>
      <c r="N135" s="12"/>
    </row>
    <row r="136" spans="2:14" s="11" customFormat="1" ht="15" x14ac:dyDescent="0.25">
      <c r="B136" s="13"/>
      <c r="C136" s="12"/>
      <c r="N136" s="12"/>
    </row>
    <row r="137" spans="2:14" s="11" customFormat="1" ht="15" x14ac:dyDescent="0.25">
      <c r="B137" s="13"/>
      <c r="C137" s="12"/>
      <c r="N137" s="12"/>
    </row>
    <row r="138" spans="2:14" s="11" customFormat="1" ht="15" x14ac:dyDescent="0.25">
      <c r="B138" s="13"/>
      <c r="C138" s="12"/>
      <c r="N138" s="12"/>
    </row>
    <row r="139" spans="2:14" s="11" customFormat="1" ht="15" x14ac:dyDescent="0.25">
      <c r="B139" s="13"/>
      <c r="C139" s="12"/>
      <c r="N139" s="12"/>
    </row>
    <row r="140" spans="2:14" s="11" customFormat="1" ht="15" x14ac:dyDescent="0.25">
      <c r="B140" s="13"/>
      <c r="C140" s="12"/>
      <c r="N140" s="12"/>
    </row>
    <row r="141" spans="2:14" s="11" customFormat="1" ht="15" x14ac:dyDescent="0.25">
      <c r="B141" s="13"/>
      <c r="C141" s="12"/>
      <c r="N141" s="12"/>
    </row>
    <row r="142" spans="2:14" s="11" customFormat="1" ht="15" x14ac:dyDescent="0.25">
      <c r="B142" s="13"/>
      <c r="C142" s="12"/>
      <c r="N142" s="12"/>
    </row>
    <row r="143" spans="2:14" s="11" customFormat="1" ht="15" x14ac:dyDescent="0.25">
      <c r="B143" s="13"/>
      <c r="C143" s="12"/>
      <c r="N143" s="12"/>
    </row>
    <row r="144" spans="2:14" s="11" customFormat="1" ht="15" x14ac:dyDescent="0.25">
      <c r="B144" s="13"/>
      <c r="C144" s="12"/>
      <c r="N144" s="12"/>
    </row>
    <row r="145" spans="2:14" s="11" customFormat="1" ht="15" x14ac:dyDescent="0.25">
      <c r="B145" s="13"/>
      <c r="C145" s="12"/>
      <c r="N145" s="12"/>
    </row>
    <row r="146" spans="2:14" s="11" customFormat="1" ht="15" x14ac:dyDescent="0.25">
      <c r="B146" s="13"/>
      <c r="C146" s="12"/>
      <c r="N146" s="12"/>
    </row>
    <row r="147" spans="2:14" s="11" customFormat="1" ht="15" x14ac:dyDescent="0.25">
      <c r="B147" s="13"/>
      <c r="C147" s="12"/>
      <c r="N147" s="12"/>
    </row>
    <row r="148" spans="2:14" s="11" customFormat="1" ht="15" x14ac:dyDescent="0.25">
      <c r="B148" s="13"/>
      <c r="C148" s="12"/>
      <c r="N148" s="12"/>
    </row>
    <row r="149" spans="2:14" s="11" customFormat="1" ht="15" x14ac:dyDescent="0.25">
      <c r="B149" s="13"/>
      <c r="C149" s="12"/>
      <c r="N149" s="12"/>
    </row>
    <row r="150" spans="2:14" s="11" customFormat="1" ht="15" x14ac:dyDescent="0.25">
      <c r="B150" s="13"/>
      <c r="C150" s="12"/>
      <c r="N150" s="12"/>
    </row>
    <row r="151" spans="2:14" s="11" customFormat="1" ht="15" x14ac:dyDescent="0.25">
      <c r="B151" s="13"/>
      <c r="C151" s="12"/>
      <c r="N151" s="12"/>
    </row>
    <row r="152" spans="2:14" s="11" customFormat="1" ht="15" x14ac:dyDescent="0.25">
      <c r="B152" s="13"/>
      <c r="C152" s="12"/>
      <c r="N152" s="12"/>
    </row>
    <row r="153" spans="2:14" s="11" customFormat="1" ht="15" x14ac:dyDescent="0.25">
      <c r="B153" s="13"/>
      <c r="C153" s="12"/>
      <c r="N153" s="12"/>
    </row>
    <row r="154" spans="2:14" s="11" customFormat="1" ht="15" x14ac:dyDescent="0.25">
      <c r="B154" s="13"/>
      <c r="C154" s="12"/>
      <c r="N154" s="12"/>
    </row>
    <row r="155" spans="2:14" s="11" customFormat="1" ht="15" x14ac:dyDescent="0.25">
      <c r="B155" s="13"/>
      <c r="C155" s="12"/>
      <c r="N155" s="12"/>
    </row>
    <row r="156" spans="2:14" s="11" customFormat="1" ht="15" x14ac:dyDescent="0.25">
      <c r="B156" s="13"/>
      <c r="C156" s="12"/>
      <c r="N156" s="12"/>
    </row>
    <row r="157" spans="2:14" s="11" customFormat="1" ht="15" x14ac:dyDescent="0.25">
      <c r="B157" s="13"/>
      <c r="C157" s="12"/>
      <c r="N157" s="12"/>
    </row>
    <row r="158" spans="2:14" s="11" customFormat="1" ht="15" x14ac:dyDescent="0.25">
      <c r="B158" s="13"/>
      <c r="C158" s="12"/>
      <c r="N158" s="12"/>
    </row>
    <row r="159" spans="2:14" s="11" customFormat="1" ht="15" x14ac:dyDescent="0.25">
      <c r="B159" s="13"/>
      <c r="C159" s="12"/>
      <c r="N159" s="12"/>
    </row>
    <row r="160" spans="2:14" s="11" customFormat="1" ht="15" x14ac:dyDescent="0.25">
      <c r="B160" s="13"/>
      <c r="C160" s="12"/>
      <c r="N160" s="12"/>
    </row>
    <row r="161" spans="2:14" s="11" customFormat="1" ht="15" x14ac:dyDescent="0.25">
      <c r="B161" s="13"/>
      <c r="C161" s="12"/>
      <c r="N161" s="12"/>
    </row>
    <row r="162" spans="2:14" s="11" customFormat="1" ht="15" x14ac:dyDescent="0.25">
      <c r="B162" s="13"/>
      <c r="C162" s="12"/>
      <c r="N162" s="12"/>
    </row>
    <row r="163" spans="2:14" s="11" customFormat="1" ht="15" x14ac:dyDescent="0.25">
      <c r="B163" s="13"/>
      <c r="C163" s="12"/>
      <c r="N163" s="12"/>
    </row>
    <row r="164" spans="2:14" s="11" customFormat="1" ht="15" x14ac:dyDescent="0.25">
      <c r="B164" s="13"/>
      <c r="C164" s="12"/>
      <c r="N164" s="12"/>
    </row>
    <row r="165" spans="2:14" s="11" customFormat="1" ht="15" x14ac:dyDescent="0.25">
      <c r="B165" s="13"/>
      <c r="C165" s="12"/>
      <c r="N165" s="12"/>
    </row>
    <row r="166" spans="2:14" s="11" customFormat="1" ht="15" x14ac:dyDescent="0.25">
      <c r="B166" s="13"/>
      <c r="C166" s="12"/>
      <c r="N166" s="12"/>
    </row>
    <row r="167" spans="2:14" s="11" customFormat="1" ht="15" x14ac:dyDescent="0.25">
      <c r="B167" s="13"/>
      <c r="C167" s="12"/>
      <c r="N167" s="12"/>
    </row>
    <row r="168" spans="2:14" s="11" customFormat="1" ht="15" x14ac:dyDescent="0.25">
      <c r="B168" s="13"/>
      <c r="C168" s="12"/>
      <c r="N168" s="12"/>
    </row>
    <row r="169" spans="2:14" s="11" customFormat="1" ht="15" x14ac:dyDescent="0.25">
      <c r="B169" s="13"/>
      <c r="C169" s="12"/>
      <c r="N169" s="12"/>
    </row>
    <row r="170" spans="2:14" s="11" customFormat="1" ht="15" x14ac:dyDescent="0.25">
      <c r="B170" s="13"/>
      <c r="C170" s="12"/>
      <c r="N170" s="12"/>
    </row>
    <row r="171" spans="2:14" s="11" customFormat="1" ht="15" x14ac:dyDescent="0.25">
      <c r="B171" s="13"/>
      <c r="C171" s="12"/>
      <c r="N171" s="12"/>
    </row>
    <row r="172" spans="2:14" s="11" customFormat="1" ht="15" x14ac:dyDescent="0.25">
      <c r="B172" s="13"/>
      <c r="C172" s="12"/>
      <c r="N172" s="12"/>
    </row>
    <row r="173" spans="2:14" s="11" customFormat="1" ht="15" x14ac:dyDescent="0.25">
      <c r="B173" s="13"/>
      <c r="C173" s="12"/>
      <c r="N173" s="12"/>
    </row>
    <row r="174" spans="2:14" s="11" customFormat="1" ht="15" x14ac:dyDescent="0.25">
      <c r="B174" s="13"/>
      <c r="C174" s="12"/>
      <c r="N174" s="12"/>
    </row>
    <row r="175" spans="2:14" s="11" customFormat="1" ht="15" x14ac:dyDescent="0.25">
      <c r="B175" s="13"/>
      <c r="C175" s="12"/>
      <c r="N175" s="12"/>
    </row>
    <row r="176" spans="2:14" s="11" customFormat="1" ht="15" x14ac:dyDescent="0.25">
      <c r="B176" s="13"/>
      <c r="C176" s="12"/>
      <c r="N176" s="12"/>
    </row>
    <row r="177" spans="2:14" s="11" customFormat="1" ht="15" x14ac:dyDescent="0.25">
      <c r="B177" s="13"/>
      <c r="C177" s="12"/>
      <c r="N177" s="12"/>
    </row>
    <row r="178" spans="2:14" s="11" customFormat="1" ht="15" x14ac:dyDescent="0.25">
      <c r="B178" s="13"/>
      <c r="C178" s="12"/>
      <c r="N178" s="12"/>
    </row>
    <row r="179" spans="2:14" s="11" customFormat="1" ht="15" x14ac:dyDescent="0.25">
      <c r="B179" s="13"/>
      <c r="C179" s="12"/>
      <c r="N179" s="12"/>
    </row>
    <row r="180" spans="2:14" s="11" customFormat="1" ht="15" x14ac:dyDescent="0.25">
      <c r="B180" s="13"/>
      <c r="C180" s="12"/>
      <c r="N180" s="12"/>
    </row>
    <row r="181" spans="2:14" s="11" customFormat="1" ht="15" x14ac:dyDescent="0.25">
      <c r="B181" s="13"/>
      <c r="C181" s="12"/>
      <c r="N181" s="12"/>
    </row>
    <row r="182" spans="2:14" s="11" customFormat="1" ht="15" x14ac:dyDescent="0.25">
      <c r="B182" s="13"/>
      <c r="C182" s="12"/>
      <c r="N182" s="12"/>
    </row>
    <row r="183" spans="2:14" s="11" customFormat="1" ht="15" x14ac:dyDescent="0.25">
      <c r="B183" s="13"/>
      <c r="C183" s="12"/>
      <c r="N183" s="12"/>
    </row>
    <row r="184" spans="2:14" s="11" customFormat="1" ht="15" x14ac:dyDescent="0.25">
      <c r="B184" s="13"/>
      <c r="C184" s="12"/>
      <c r="N184" s="12"/>
    </row>
    <row r="185" spans="2:14" s="11" customFormat="1" ht="15" x14ac:dyDescent="0.25">
      <c r="B185" s="13"/>
      <c r="C185" s="12"/>
      <c r="N185" s="12"/>
    </row>
    <row r="186" spans="2:14" s="11" customFormat="1" ht="15" x14ac:dyDescent="0.25">
      <c r="B186" s="13"/>
      <c r="C186" s="12"/>
      <c r="N186" s="12"/>
    </row>
    <row r="187" spans="2:14" s="11" customFormat="1" ht="15" x14ac:dyDescent="0.25">
      <c r="B187" s="13"/>
      <c r="C187" s="12"/>
      <c r="N187" s="12"/>
    </row>
    <row r="188" spans="2:14" s="11" customFormat="1" ht="15" x14ac:dyDescent="0.25">
      <c r="B188" s="13"/>
      <c r="C188" s="12"/>
      <c r="N188" s="12"/>
    </row>
    <row r="189" spans="2:14" s="11" customFormat="1" ht="15" x14ac:dyDescent="0.25">
      <c r="B189" s="13"/>
      <c r="C189" s="12"/>
      <c r="N189" s="12"/>
    </row>
    <row r="190" spans="2:14" s="11" customFormat="1" ht="15" x14ac:dyDescent="0.25">
      <c r="B190" s="13"/>
      <c r="C190" s="12"/>
      <c r="N190" s="12"/>
    </row>
    <row r="191" spans="2:14" s="11" customFormat="1" ht="15" x14ac:dyDescent="0.25">
      <c r="B191" s="13"/>
      <c r="C191" s="12"/>
      <c r="N191" s="12"/>
    </row>
    <row r="192" spans="2:14" s="11" customFormat="1" ht="15" x14ac:dyDescent="0.25">
      <c r="B192" s="13"/>
      <c r="C192" s="12"/>
      <c r="N192" s="12"/>
    </row>
    <row r="193" spans="2:14" s="11" customFormat="1" ht="15" x14ac:dyDescent="0.25">
      <c r="B193" s="13"/>
      <c r="C193" s="12"/>
      <c r="N193" s="12"/>
    </row>
    <row r="194" spans="2:14" s="11" customFormat="1" ht="15" x14ac:dyDescent="0.25">
      <c r="B194" s="13"/>
      <c r="C194" s="12"/>
      <c r="N194" s="12"/>
    </row>
    <row r="195" spans="2:14" s="11" customFormat="1" ht="15" x14ac:dyDescent="0.25">
      <c r="B195" s="13"/>
      <c r="C195" s="12"/>
      <c r="N195" s="12"/>
    </row>
    <row r="196" spans="2:14" s="11" customFormat="1" ht="15" x14ac:dyDescent="0.25">
      <c r="B196" s="13"/>
      <c r="C196" s="12"/>
      <c r="N196" s="12"/>
    </row>
    <row r="197" spans="2:14" s="11" customFormat="1" ht="15" x14ac:dyDescent="0.25">
      <c r="B197" s="13"/>
      <c r="C197" s="12"/>
      <c r="N197" s="12"/>
    </row>
    <row r="198" spans="2:14" s="11" customFormat="1" ht="15" x14ac:dyDescent="0.25">
      <c r="B198" s="13"/>
      <c r="C198" s="12"/>
      <c r="N198" s="12"/>
    </row>
    <row r="199" spans="2:14" s="11" customFormat="1" ht="15" x14ac:dyDescent="0.25">
      <c r="B199" s="13"/>
      <c r="C199" s="12"/>
      <c r="N199" s="12"/>
    </row>
    <row r="200" spans="2:14" s="11" customFormat="1" ht="15" x14ac:dyDescent="0.25">
      <c r="B200" s="13"/>
      <c r="C200" s="12"/>
      <c r="N200" s="12"/>
    </row>
    <row r="201" spans="2:14" s="11" customFormat="1" ht="15" x14ac:dyDescent="0.25">
      <c r="B201" s="13"/>
      <c r="C201" s="12"/>
      <c r="N201" s="12"/>
    </row>
    <row r="202" spans="2:14" s="11" customFormat="1" ht="15" x14ac:dyDescent="0.25">
      <c r="B202" s="13"/>
      <c r="C202" s="12"/>
      <c r="N202" s="12"/>
    </row>
    <row r="203" spans="2:14" s="11" customFormat="1" ht="15" x14ac:dyDescent="0.25">
      <c r="B203" s="13"/>
      <c r="C203" s="12"/>
      <c r="N203" s="12"/>
    </row>
    <row r="204" spans="2:14" s="11" customFormat="1" ht="15" x14ac:dyDescent="0.25">
      <c r="B204" s="13"/>
      <c r="C204" s="12"/>
      <c r="N204" s="12"/>
    </row>
    <row r="205" spans="2:14" s="11" customFormat="1" ht="15" x14ac:dyDescent="0.25">
      <c r="B205" s="13"/>
      <c r="C205" s="12"/>
      <c r="N205" s="12"/>
    </row>
    <row r="206" spans="2:14" s="11" customFormat="1" ht="15" x14ac:dyDescent="0.25">
      <c r="B206" s="13"/>
      <c r="C206" s="12"/>
      <c r="N206" s="12"/>
    </row>
    <row r="207" spans="2:14" s="11" customFormat="1" ht="15" x14ac:dyDescent="0.25">
      <c r="B207" s="13"/>
      <c r="C207" s="12"/>
      <c r="N207" s="12"/>
    </row>
    <row r="208" spans="2:14" s="11" customFormat="1" ht="15" x14ac:dyDescent="0.25">
      <c r="B208" s="13"/>
      <c r="C208" s="12"/>
      <c r="N208" s="12"/>
    </row>
    <row r="209" spans="2:14" s="11" customFormat="1" ht="15" x14ac:dyDescent="0.25">
      <c r="B209" s="13"/>
      <c r="C209" s="12"/>
      <c r="N209" s="12"/>
    </row>
    <row r="210" spans="2:14" s="11" customFormat="1" ht="15" x14ac:dyDescent="0.25">
      <c r="B210" s="13"/>
      <c r="C210" s="12"/>
      <c r="N210" s="12"/>
    </row>
    <row r="211" spans="2:14" s="11" customFormat="1" ht="15" x14ac:dyDescent="0.25">
      <c r="B211" s="13"/>
      <c r="C211" s="12"/>
      <c r="N211" s="12"/>
    </row>
    <row r="212" spans="2:14" s="11" customFormat="1" ht="15" x14ac:dyDescent="0.25">
      <c r="B212" s="13"/>
      <c r="C212" s="12"/>
      <c r="N212" s="12"/>
    </row>
    <row r="213" spans="2:14" s="11" customFormat="1" ht="15" x14ac:dyDescent="0.25">
      <c r="B213" s="13"/>
      <c r="C213" s="12"/>
      <c r="N213" s="12"/>
    </row>
    <row r="214" spans="2:14" s="11" customFormat="1" ht="15" x14ac:dyDescent="0.25">
      <c r="B214" s="13"/>
      <c r="C214" s="12"/>
      <c r="N214" s="12"/>
    </row>
    <row r="215" spans="2:14" s="11" customFormat="1" ht="15" x14ac:dyDescent="0.25">
      <c r="B215" s="13"/>
      <c r="C215" s="12"/>
      <c r="N215" s="12"/>
    </row>
    <row r="216" spans="2:14" s="11" customFormat="1" ht="15" x14ac:dyDescent="0.25">
      <c r="B216" s="13"/>
      <c r="C216" s="12"/>
      <c r="N216" s="12"/>
    </row>
    <row r="217" spans="2:14" s="11" customFormat="1" ht="15" x14ac:dyDescent="0.25">
      <c r="B217" s="13"/>
      <c r="C217" s="12"/>
      <c r="N217" s="12"/>
    </row>
    <row r="218" spans="2:14" s="11" customFormat="1" ht="15" x14ac:dyDescent="0.25">
      <c r="B218" s="13"/>
      <c r="C218" s="12"/>
      <c r="N218" s="12"/>
    </row>
    <row r="219" spans="2:14" s="11" customFormat="1" ht="15" x14ac:dyDescent="0.25">
      <c r="B219" s="13"/>
      <c r="C219" s="12"/>
      <c r="N219" s="12"/>
    </row>
    <row r="220" spans="2:14" s="11" customFormat="1" ht="15" x14ac:dyDescent="0.25">
      <c r="B220" s="13"/>
      <c r="C220" s="12"/>
      <c r="N220" s="12"/>
    </row>
    <row r="221" spans="2:14" s="11" customFormat="1" ht="15" x14ac:dyDescent="0.25">
      <c r="B221" s="13"/>
      <c r="C221" s="12"/>
      <c r="N221" s="12"/>
    </row>
    <row r="222" spans="2:14" s="11" customFormat="1" ht="15" x14ac:dyDescent="0.25">
      <c r="B222" s="13"/>
      <c r="C222" s="12"/>
      <c r="N222" s="12"/>
    </row>
    <row r="223" spans="2:14" s="11" customFormat="1" ht="15" x14ac:dyDescent="0.25">
      <c r="B223" s="13"/>
      <c r="C223" s="12"/>
      <c r="N223" s="12"/>
    </row>
    <row r="224" spans="2:14" s="11" customFormat="1" ht="15" x14ac:dyDescent="0.25">
      <c r="B224" s="13"/>
      <c r="C224" s="12"/>
      <c r="N224" s="12"/>
    </row>
    <row r="225" spans="2:14" s="11" customFormat="1" ht="15" x14ac:dyDescent="0.25">
      <c r="B225" s="13"/>
      <c r="C225" s="12"/>
      <c r="N225" s="12"/>
    </row>
    <row r="226" spans="2:14" s="11" customFormat="1" ht="15" x14ac:dyDescent="0.25">
      <c r="B226" s="13"/>
      <c r="C226" s="12"/>
      <c r="N226" s="12"/>
    </row>
    <row r="227" spans="2:14" s="11" customFormat="1" ht="15" x14ac:dyDescent="0.25">
      <c r="B227" s="13"/>
      <c r="C227" s="12"/>
      <c r="N227" s="12"/>
    </row>
    <row r="228" spans="2:14" s="11" customFormat="1" ht="15" x14ac:dyDescent="0.25">
      <c r="B228" s="13"/>
      <c r="C228" s="12"/>
      <c r="N228" s="12"/>
    </row>
    <row r="229" spans="2:14" s="11" customFormat="1" ht="15" x14ac:dyDescent="0.25">
      <c r="B229" s="13"/>
      <c r="C229" s="12"/>
      <c r="N229" s="12"/>
    </row>
    <row r="230" spans="2:14" s="11" customFormat="1" ht="15" x14ac:dyDescent="0.25">
      <c r="B230" s="13"/>
      <c r="C230" s="12"/>
      <c r="N230" s="12"/>
    </row>
    <row r="231" spans="2:14" s="11" customFormat="1" ht="15" x14ac:dyDescent="0.25">
      <c r="B231" s="13"/>
      <c r="C231" s="12"/>
      <c r="N231" s="12"/>
    </row>
    <row r="232" spans="2:14" s="11" customFormat="1" ht="15" x14ac:dyDescent="0.25">
      <c r="B232" s="13"/>
      <c r="C232" s="12"/>
      <c r="N232" s="12"/>
    </row>
    <row r="233" spans="2:14" s="11" customFormat="1" ht="15" x14ac:dyDescent="0.25">
      <c r="B233" s="13"/>
      <c r="C233" s="12"/>
      <c r="N233" s="12"/>
    </row>
    <row r="234" spans="2:14" s="11" customFormat="1" ht="15" x14ac:dyDescent="0.25">
      <c r="B234" s="13"/>
      <c r="C234" s="12"/>
      <c r="N234" s="12"/>
    </row>
    <row r="235" spans="2:14" s="11" customFormat="1" ht="15" x14ac:dyDescent="0.25">
      <c r="B235" s="13"/>
      <c r="C235" s="12"/>
      <c r="N235" s="12"/>
    </row>
    <row r="236" spans="2:14" s="11" customFormat="1" ht="15" x14ac:dyDescent="0.25">
      <c r="B236" s="13"/>
      <c r="C236" s="12"/>
      <c r="N236" s="12"/>
    </row>
    <row r="237" spans="2:14" s="11" customFormat="1" ht="15" x14ac:dyDescent="0.25">
      <c r="B237" s="13"/>
      <c r="C237" s="12"/>
      <c r="N237" s="12"/>
    </row>
    <row r="238" spans="2:14" s="11" customFormat="1" ht="15" x14ac:dyDescent="0.25">
      <c r="B238" s="13"/>
      <c r="C238" s="12"/>
      <c r="N238" s="12"/>
    </row>
    <row r="239" spans="2:14" s="11" customFormat="1" ht="15" x14ac:dyDescent="0.25">
      <c r="B239" s="13"/>
      <c r="C239" s="12"/>
      <c r="N239" s="12"/>
    </row>
    <row r="240" spans="2:14" s="11" customFormat="1" ht="15" x14ac:dyDescent="0.25">
      <c r="B240" s="13"/>
      <c r="C240" s="12"/>
      <c r="N240" s="12"/>
    </row>
    <row r="241" spans="2:14" s="11" customFormat="1" ht="15" x14ac:dyDescent="0.25">
      <c r="B241" s="13"/>
      <c r="C241" s="12"/>
      <c r="N241" s="12"/>
    </row>
    <row r="242" spans="2:14" s="11" customFormat="1" ht="15" x14ac:dyDescent="0.25">
      <c r="B242" s="13"/>
      <c r="C242" s="12"/>
      <c r="N242" s="12"/>
    </row>
    <row r="243" spans="2:14" s="11" customFormat="1" ht="15" x14ac:dyDescent="0.25">
      <c r="B243" s="13"/>
      <c r="C243" s="12"/>
      <c r="N243" s="12"/>
    </row>
    <row r="244" spans="2:14" s="11" customFormat="1" ht="15" x14ac:dyDescent="0.25">
      <c r="B244" s="13"/>
      <c r="C244" s="12"/>
      <c r="N244" s="12"/>
    </row>
    <row r="245" spans="2:14" s="11" customFormat="1" ht="15" x14ac:dyDescent="0.25">
      <c r="B245" s="13"/>
      <c r="C245" s="12"/>
      <c r="N245" s="12"/>
    </row>
    <row r="246" spans="2:14" s="11" customFormat="1" ht="15" x14ac:dyDescent="0.25">
      <c r="B246" s="13"/>
      <c r="C246" s="12"/>
      <c r="N246" s="12"/>
    </row>
    <row r="247" spans="2:14" s="11" customFormat="1" ht="15" x14ac:dyDescent="0.25">
      <c r="B247" s="13"/>
      <c r="C247" s="12"/>
      <c r="N247" s="12"/>
    </row>
    <row r="248" spans="2:14" s="11" customFormat="1" ht="15" x14ac:dyDescent="0.25">
      <c r="B248" s="13"/>
      <c r="C248" s="12"/>
      <c r="N248" s="12"/>
    </row>
    <row r="249" spans="2:14" s="11" customFormat="1" ht="15" x14ac:dyDescent="0.25">
      <c r="B249" s="13"/>
      <c r="C249" s="12"/>
      <c r="N249" s="12"/>
    </row>
    <row r="250" spans="2:14" s="11" customFormat="1" ht="15" x14ac:dyDescent="0.25">
      <c r="B250" s="13"/>
      <c r="C250" s="12"/>
      <c r="N250" s="12"/>
    </row>
    <row r="251" spans="2:14" s="11" customFormat="1" ht="15" x14ac:dyDescent="0.25">
      <c r="B251" s="13"/>
      <c r="C251" s="12"/>
      <c r="N251" s="12"/>
    </row>
    <row r="252" spans="2:14" s="11" customFormat="1" ht="15" x14ac:dyDescent="0.25">
      <c r="B252" s="13"/>
      <c r="C252" s="12"/>
      <c r="N252" s="12"/>
    </row>
    <row r="253" spans="2:14" s="11" customFormat="1" ht="15" x14ac:dyDescent="0.25">
      <c r="B253" s="13"/>
      <c r="C253" s="12"/>
      <c r="N253" s="12"/>
    </row>
    <row r="254" spans="2:14" s="11" customFormat="1" ht="15" x14ac:dyDescent="0.25">
      <c r="B254" s="13"/>
      <c r="C254" s="12"/>
      <c r="N254" s="12"/>
    </row>
    <row r="255" spans="2:14" s="11" customFormat="1" ht="15" x14ac:dyDescent="0.25">
      <c r="B255" s="13"/>
      <c r="C255" s="12"/>
      <c r="N255" s="12"/>
    </row>
    <row r="256" spans="2:14" s="11" customFormat="1" ht="15" x14ac:dyDescent="0.25">
      <c r="B256" s="13"/>
      <c r="C256" s="12"/>
      <c r="N256" s="12"/>
    </row>
    <row r="257" spans="2:14" s="11" customFormat="1" ht="15" x14ac:dyDescent="0.25">
      <c r="B257" s="13"/>
      <c r="C257" s="12"/>
      <c r="N257" s="12"/>
    </row>
    <row r="258" spans="2:14" s="11" customFormat="1" ht="15" x14ac:dyDescent="0.25">
      <c r="B258" s="13"/>
      <c r="C258" s="12"/>
      <c r="N258" s="12"/>
    </row>
    <row r="259" spans="2:14" s="11" customFormat="1" ht="15" x14ac:dyDescent="0.25">
      <c r="B259" s="13"/>
      <c r="C259" s="12"/>
      <c r="N259" s="12"/>
    </row>
    <row r="260" spans="2:14" s="11" customFormat="1" ht="15" x14ac:dyDescent="0.25">
      <c r="B260" s="13"/>
      <c r="C260" s="12"/>
      <c r="N260" s="12"/>
    </row>
    <row r="261" spans="2:14" s="11" customFormat="1" ht="15" x14ac:dyDescent="0.25">
      <c r="B261" s="13"/>
      <c r="C261" s="12"/>
      <c r="N261" s="12"/>
    </row>
    <row r="262" spans="2:14" s="11" customFormat="1" ht="15" x14ac:dyDescent="0.25">
      <c r="B262" s="13"/>
      <c r="C262" s="12"/>
      <c r="N262" s="12"/>
    </row>
    <row r="263" spans="2:14" s="11" customFormat="1" ht="15" x14ac:dyDescent="0.25">
      <c r="B263" s="13"/>
      <c r="C263" s="12"/>
      <c r="N263" s="12"/>
    </row>
    <row r="264" spans="2:14" s="11" customFormat="1" ht="15" x14ac:dyDescent="0.25">
      <c r="B264" s="13"/>
      <c r="C264" s="12"/>
      <c r="N264" s="12"/>
    </row>
    <row r="265" spans="2:14" s="11" customFormat="1" ht="15" x14ac:dyDescent="0.25">
      <c r="B265" s="13"/>
      <c r="C265" s="12"/>
      <c r="N265" s="12"/>
    </row>
    <row r="266" spans="2:14" s="11" customFormat="1" ht="15" x14ac:dyDescent="0.25">
      <c r="B266" s="13"/>
      <c r="C266" s="12"/>
      <c r="N266" s="12"/>
    </row>
    <row r="267" spans="2:14" s="11" customFormat="1" ht="15" x14ac:dyDescent="0.25">
      <c r="B267" s="13"/>
      <c r="C267" s="12"/>
      <c r="N267" s="12"/>
    </row>
    <row r="268" spans="2:14" s="11" customFormat="1" ht="15" x14ac:dyDescent="0.25">
      <c r="B268" s="13"/>
      <c r="C268" s="12"/>
      <c r="N268" s="12"/>
    </row>
    <row r="269" spans="2:14" s="11" customFormat="1" ht="15" x14ac:dyDescent="0.25">
      <c r="B269" s="13"/>
      <c r="C269" s="12"/>
      <c r="N269" s="12"/>
    </row>
    <row r="270" spans="2:14" s="11" customFormat="1" ht="15" x14ac:dyDescent="0.25">
      <c r="B270" s="13"/>
      <c r="C270" s="12"/>
      <c r="N270" s="12"/>
    </row>
    <row r="271" spans="2:14" s="11" customFormat="1" ht="15" x14ac:dyDescent="0.25">
      <c r="B271" s="13"/>
      <c r="C271" s="12"/>
      <c r="N271" s="12"/>
    </row>
    <row r="272" spans="2:14" s="11" customFormat="1" ht="15" x14ac:dyDescent="0.25">
      <c r="B272" s="13"/>
      <c r="C272" s="12"/>
      <c r="N272" s="12"/>
    </row>
    <row r="273" spans="2:14" s="11" customFormat="1" ht="15" x14ac:dyDescent="0.25">
      <c r="B273" s="13"/>
      <c r="C273" s="12"/>
      <c r="N273" s="12"/>
    </row>
    <row r="274" spans="2:14" s="11" customFormat="1" ht="15" x14ac:dyDescent="0.25">
      <c r="B274" s="13"/>
      <c r="C274" s="12"/>
      <c r="N274" s="12"/>
    </row>
    <row r="275" spans="2:14" s="11" customFormat="1" ht="15" x14ac:dyDescent="0.25">
      <c r="B275" s="13"/>
      <c r="C275" s="12"/>
      <c r="N275" s="12"/>
    </row>
    <row r="276" spans="2:14" s="11" customFormat="1" ht="15" x14ac:dyDescent="0.25">
      <c r="B276" s="13"/>
      <c r="C276" s="12"/>
      <c r="N276" s="12"/>
    </row>
    <row r="277" spans="2:14" s="11" customFormat="1" ht="15" x14ac:dyDescent="0.25">
      <c r="B277" s="13"/>
      <c r="C277" s="12"/>
      <c r="N277" s="12"/>
    </row>
    <row r="278" spans="2:14" s="11" customFormat="1" ht="15" x14ac:dyDescent="0.25">
      <c r="B278" s="13"/>
      <c r="C278" s="12"/>
      <c r="N278" s="12"/>
    </row>
    <row r="279" spans="2:14" s="11" customFormat="1" ht="15" x14ac:dyDescent="0.25">
      <c r="B279" s="13"/>
      <c r="C279" s="12"/>
      <c r="N279" s="12"/>
    </row>
    <row r="280" spans="2:14" s="11" customFormat="1" ht="15" x14ac:dyDescent="0.25">
      <c r="B280" s="13"/>
      <c r="C280" s="12"/>
      <c r="N280" s="12"/>
    </row>
    <row r="281" spans="2:14" s="11" customFormat="1" ht="15" x14ac:dyDescent="0.25">
      <c r="B281" s="13"/>
      <c r="C281" s="12"/>
      <c r="N281" s="12"/>
    </row>
    <row r="282" spans="2:14" s="11" customFormat="1" ht="15" x14ac:dyDescent="0.25">
      <c r="B282" s="13"/>
      <c r="C282" s="12"/>
      <c r="N282" s="12"/>
    </row>
    <row r="283" spans="2:14" s="11" customFormat="1" ht="15" x14ac:dyDescent="0.25">
      <c r="B283" s="13"/>
      <c r="C283" s="12"/>
      <c r="N283" s="12"/>
    </row>
    <row r="284" spans="2:14" s="11" customFormat="1" ht="15" x14ac:dyDescent="0.25">
      <c r="B284" s="13"/>
      <c r="C284" s="12"/>
      <c r="N284" s="12"/>
    </row>
    <row r="285" spans="2:14" s="11" customFormat="1" ht="15" x14ac:dyDescent="0.25">
      <c r="B285" s="13"/>
      <c r="C285" s="12"/>
      <c r="N285" s="12"/>
    </row>
    <row r="286" spans="2:14" s="11" customFormat="1" ht="15" x14ac:dyDescent="0.25">
      <c r="B286" s="13"/>
      <c r="C286" s="12"/>
      <c r="N286" s="12"/>
    </row>
    <row r="287" spans="2:14" s="11" customFormat="1" ht="15" x14ac:dyDescent="0.25">
      <c r="B287" s="13"/>
      <c r="C287" s="12"/>
      <c r="N287" s="12"/>
    </row>
    <row r="288" spans="2:14" s="11" customFormat="1" ht="15" x14ac:dyDescent="0.25">
      <c r="B288" s="13"/>
      <c r="C288" s="12"/>
      <c r="N288" s="12"/>
    </row>
    <row r="289" spans="2:14" s="11" customFormat="1" ht="15" x14ac:dyDescent="0.25">
      <c r="B289" s="13"/>
      <c r="C289" s="12"/>
      <c r="N289" s="12"/>
    </row>
    <row r="290" spans="2:14" s="11" customFormat="1" ht="15" x14ac:dyDescent="0.25">
      <c r="B290" s="13"/>
      <c r="C290" s="12"/>
      <c r="N290" s="12"/>
    </row>
    <row r="291" spans="2:14" s="11" customFormat="1" ht="15" x14ac:dyDescent="0.25">
      <c r="B291" s="13"/>
      <c r="C291" s="12"/>
      <c r="N291" s="12"/>
    </row>
    <row r="292" spans="2:14" s="11" customFormat="1" ht="15" x14ac:dyDescent="0.25">
      <c r="B292" s="13"/>
      <c r="C292" s="12"/>
      <c r="N292" s="12"/>
    </row>
    <row r="293" spans="2:14" s="11" customFormat="1" ht="15" x14ac:dyDescent="0.25">
      <c r="B293" s="13"/>
      <c r="C293" s="12"/>
      <c r="N293" s="12"/>
    </row>
    <row r="294" spans="2:14" s="11" customFormat="1" ht="15" x14ac:dyDescent="0.25">
      <c r="B294" s="13"/>
      <c r="C294" s="12"/>
      <c r="N294" s="12"/>
    </row>
    <row r="295" spans="2:14" s="11" customFormat="1" ht="15" x14ac:dyDescent="0.25">
      <c r="B295" s="13"/>
      <c r="C295" s="12"/>
      <c r="N295" s="12"/>
    </row>
    <row r="296" spans="2:14" s="11" customFormat="1" ht="15" x14ac:dyDescent="0.25">
      <c r="B296" s="13"/>
      <c r="C296" s="12"/>
      <c r="N296" s="12"/>
    </row>
    <row r="297" spans="2:14" s="11" customFormat="1" ht="15" x14ac:dyDescent="0.25">
      <c r="B297" s="13"/>
      <c r="C297" s="12"/>
      <c r="N297" s="12"/>
    </row>
    <row r="298" spans="2:14" s="11" customFormat="1" ht="15" x14ac:dyDescent="0.25">
      <c r="B298" s="13"/>
      <c r="C298" s="12"/>
      <c r="N298" s="12"/>
    </row>
    <row r="299" spans="2:14" s="11" customFormat="1" ht="15" x14ac:dyDescent="0.25">
      <c r="B299" s="13"/>
      <c r="C299" s="12"/>
      <c r="N299" s="12"/>
    </row>
    <row r="300" spans="2:14" s="11" customFormat="1" ht="15" x14ac:dyDescent="0.25">
      <c r="B300" s="13"/>
      <c r="C300" s="12"/>
      <c r="N300" s="12"/>
    </row>
    <row r="301" spans="2:14" s="11" customFormat="1" ht="15" x14ac:dyDescent="0.25">
      <c r="B301" s="13"/>
      <c r="C301" s="12"/>
      <c r="N301" s="12"/>
    </row>
    <row r="302" spans="2:14" s="11" customFormat="1" ht="15" x14ac:dyDescent="0.25">
      <c r="B302" s="13"/>
      <c r="C302" s="12"/>
      <c r="N302" s="12"/>
    </row>
    <row r="303" spans="2:14" s="11" customFormat="1" ht="15" x14ac:dyDescent="0.25">
      <c r="B303" s="13"/>
      <c r="C303" s="12"/>
      <c r="N303" s="12"/>
    </row>
    <row r="304" spans="2:14" s="11" customFormat="1" ht="15" x14ac:dyDescent="0.25">
      <c r="B304" s="13"/>
      <c r="C304" s="12"/>
      <c r="N304" s="12"/>
    </row>
    <row r="305" spans="2:14" s="11" customFormat="1" ht="15" x14ac:dyDescent="0.25">
      <c r="B305" s="13"/>
      <c r="C305" s="12"/>
      <c r="N305" s="12"/>
    </row>
    <row r="306" spans="2:14" s="11" customFormat="1" ht="15" x14ac:dyDescent="0.25">
      <c r="B306" s="13"/>
      <c r="C306" s="12"/>
      <c r="N306" s="12"/>
    </row>
    <row r="307" spans="2:14" s="11" customFormat="1" ht="15" x14ac:dyDescent="0.25">
      <c r="B307" s="13"/>
      <c r="C307" s="12"/>
      <c r="N307" s="12"/>
    </row>
    <row r="308" spans="2:14" s="11" customFormat="1" ht="15" x14ac:dyDescent="0.25">
      <c r="B308" s="13"/>
      <c r="C308" s="12"/>
      <c r="N308" s="12"/>
    </row>
    <row r="309" spans="2:14" s="11" customFormat="1" ht="15" x14ac:dyDescent="0.25">
      <c r="B309" s="13"/>
      <c r="C309" s="12"/>
      <c r="N309" s="12"/>
    </row>
    <row r="310" spans="2:14" s="11" customFormat="1" ht="15" x14ac:dyDescent="0.25">
      <c r="B310" s="13"/>
      <c r="C310" s="12"/>
      <c r="N310" s="12"/>
    </row>
    <row r="311" spans="2:14" s="11" customFormat="1" ht="15" x14ac:dyDescent="0.25">
      <c r="B311" s="13"/>
      <c r="C311" s="12"/>
      <c r="N311" s="12"/>
    </row>
    <row r="312" spans="2:14" s="11" customFormat="1" ht="15" x14ac:dyDescent="0.25">
      <c r="B312" s="13"/>
      <c r="C312" s="12"/>
      <c r="N312" s="12"/>
    </row>
    <row r="313" spans="2:14" s="11" customFormat="1" ht="15" x14ac:dyDescent="0.25">
      <c r="B313" s="13"/>
      <c r="C313" s="12"/>
      <c r="N313" s="12"/>
    </row>
    <row r="314" spans="2:14" s="11" customFormat="1" ht="15" x14ac:dyDescent="0.25">
      <c r="B314" s="13"/>
      <c r="C314" s="12"/>
      <c r="N314" s="12"/>
    </row>
    <row r="315" spans="2:14" s="11" customFormat="1" ht="15" x14ac:dyDescent="0.25">
      <c r="B315" s="13"/>
      <c r="C315" s="12"/>
      <c r="N315" s="12"/>
    </row>
    <row r="316" spans="2:14" s="11" customFormat="1" ht="15" x14ac:dyDescent="0.25">
      <c r="B316" s="13"/>
      <c r="C316" s="12"/>
      <c r="N316" s="12"/>
    </row>
    <row r="317" spans="2:14" s="11" customFormat="1" ht="15" x14ac:dyDescent="0.25">
      <c r="B317" s="13"/>
      <c r="C317" s="12"/>
      <c r="N317" s="12"/>
    </row>
    <row r="318" spans="2:14" s="11" customFormat="1" ht="15" x14ac:dyDescent="0.25">
      <c r="B318" s="13"/>
      <c r="C318" s="12"/>
      <c r="N318" s="12"/>
    </row>
    <row r="319" spans="2:14" s="11" customFormat="1" ht="15" x14ac:dyDescent="0.25">
      <c r="B319" s="13"/>
      <c r="C319" s="12"/>
      <c r="N319" s="12"/>
    </row>
    <row r="320" spans="2:14" s="11" customFormat="1" ht="15" x14ac:dyDescent="0.25">
      <c r="B320" s="13"/>
      <c r="C320" s="12"/>
      <c r="N320" s="12"/>
    </row>
    <row r="321" spans="2:14" s="11" customFormat="1" ht="15" x14ac:dyDescent="0.25">
      <c r="B321" s="13"/>
      <c r="C321" s="12"/>
      <c r="N321" s="12"/>
    </row>
    <row r="322" spans="2:14" s="11" customFormat="1" ht="15" x14ac:dyDescent="0.25">
      <c r="B322" s="13"/>
      <c r="C322" s="12"/>
      <c r="N322" s="12"/>
    </row>
    <row r="323" spans="2:14" s="11" customFormat="1" ht="15" x14ac:dyDescent="0.25">
      <c r="B323" s="13"/>
      <c r="C323" s="12"/>
      <c r="N323" s="12"/>
    </row>
    <row r="324" spans="2:14" s="11" customFormat="1" ht="15" x14ac:dyDescent="0.25">
      <c r="B324" s="13"/>
      <c r="C324" s="12"/>
      <c r="N324" s="12"/>
    </row>
    <row r="325" spans="2:14" s="11" customFormat="1" ht="15" x14ac:dyDescent="0.25">
      <c r="B325" s="13"/>
      <c r="C325" s="12"/>
      <c r="N325" s="12"/>
    </row>
    <row r="326" spans="2:14" s="11" customFormat="1" ht="15" x14ac:dyDescent="0.25">
      <c r="B326" s="13"/>
      <c r="C326" s="12"/>
      <c r="N326" s="12"/>
    </row>
    <row r="327" spans="2:14" s="11" customFormat="1" ht="15" x14ac:dyDescent="0.25">
      <c r="B327" s="13"/>
      <c r="C327" s="12"/>
      <c r="N327" s="12"/>
    </row>
    <row r="328" spans="2:14" s="11" customFormat="1" ht="15" x14ac:dyDescent="0.25">
      <c r="B328" s="13"/>
      <c r="C328" s="12"/>
      <c r="N328" s="12"/>
    </row>
    <row r="329" spans="2:14" s="11" customFormat="1" ht="15" x14ac:dyDescent="0.25">
      <c r="B329" s="13"/>
      <c r="C329" s="12"/>
      <c r="N329" s="12"/>
    </row>
    <row r="330" spans="2:14" s="11" customFormat="1" ht="15" x14ac:dyDescent="0.25">
      <c r="B330" s="13"/>
      <c r="C330" s="12"/>
      <c r="N330" s="12"/>
    </row>
    <row r="331" spans="2:14" s="11" customFormat="1" ht="15" x14ac:dyDescent="0.25">
      <c r="B331" s="13"/>
      <c r="C331" s="12"/>
      <c r="N331" s="12"/>
    </row>
    <row r="332" spans="2:14" s="11" customFormat="1" ht="15" x14ac:dyDescent="0.25">
      <c r="B332" s="13"/>
      <c r="C332" s="12"/>
      <c r="N332" s="12"/>
    </row>
    <row r="333" spans="2:14" s="11" customFormat="1" ht="15" x14ac:dyDescent="0.25">
      <c r="B333" s="13"/>
      <c r="C333" s="12"/>
      <c r="N333" s="12"/>
    </row>
    <row r="334" spans="2:14" s="11" customFormat="1" ht="15" x14ac:dyDescent="0.25">
      <c r="B334" s="13"/>
      <c r="C334" s="12"/>
      <c r="N334" s="12"/>
    </row>
    <row r="335" spans="2:14" s="11" customFormat="1" ht="15" x14ac:dyDescent="0.25">
      <c r="B335" s="13"/>
      <c r="C335" s="12"/>
      <c r="N335" s="12"/>
    </row>
    <row r="336" spans="2:14" s="11" customFormat="1" ht="15" x14ac:dyDescent="0.25">
      <c r="B336" s="13"/>
      <c r="C336" s="12"/>
      <c r="N336" s="12"/>
    </row>
    <row r="337" spans="2:14" s="11" customFormat="1" ht="15" x14ac:dyDescent="0.25">
      <c r="B337" s="13"/>
      <c r="C337" s="12"/>
      <c r="N337" s="12"/>
    </row>
    <row r="338" spans="2:14" s="11" customFormat="1" ht="15" x14ac:dyDescent="0.25">
      <c r="B338" s="13"/>
      <c r="C338" s="12"/>
      <c r="N338" s="12"/>
    </row>
    <row r="339" spans="2:14" s="11" customFormat="1" ht="15" x14ac:dyDescent="0.25">
      <c r="B339" s="13"/>
      <c r="C339" s="12"/>
      <c r="N339" s="12"/>
    </row>
    <row r="340" spans="2:14" s="11" customFormat="1" ht="15" x14ac:dyDescent="0.25">
      <c r="B340" s="13"/>
      <c r="C340" s="12"/>
      <c r="N340" s="12"/>
    </row>
    <row r="341" spans="2:14" s="11" customFormat="1" ht="15" x14ac:dyDescent="0.25">
      <c r="B341" s="13"/>
      <c r="C341" s="12"/>
      <c r="N341" s="12"/>
    </row>
    <row r="342" spans="2:14" s="11" customFormat="1" ht="15" x14ac:dyDescent="0.25">
      <c r="B342" s="13"/>
      <c r="C342" s="12"/>
      <c r="N342" s="12"/>
    </row>
    <row r="343" spans="2:14" s="11" customFormat="1" ht="15" x14ac:dyDescent="0.25">
      <c r="B343" s="13"/>
      <c r="C343" s="12"/>
      <c r="N343" s="12"/>
    </row>
    <row r="344" spans="2:14" s="11" customFormat="1" ht="15" x14ac:dyDescent="0.25">
      <c r="B344" s="13"/>
      <c r="C344" s="12"/>
      <c r="N344" s="12"/>
    </row>
    <row r="345" spans="2:14" s="11" customFormat="1" ht="15" x14ac:dyDescent="0.25">
      <c r="B345" s="13"/>
      <c r="C345" s="12"/>
      <c r="N345" s="12"/>
    </row>
    <row r="346" spans="2:14" s="11" customFormat="1" ht="15" x14ac:dyDescent="0.25">
      <c r="B346" s="13"/>
      <c r="C346" s="12"/>
      <c r="N346" s="12"/>
    </row>
    <row r="347" spans="2:14" s="11" customFormat="1" ht="15" x14ac:dyDescent="0.25">
      <c r="B347" s="13"/>
      <c r="C347" s="12"/>
      <c r="N347" s="12"/>
    </row>
    <row r="348" spans="2:14" s="11" customFormat="1" ht="15" x14ac:dyDescent="0.25">
      <c r="B348" s="13"/>
      <c r="C348" s="12"/>
      <c r="N348" s="12"/>
    </row>
    <row r="349" spans="2:14" s="11" customFormat="1" ht="15" x14ac:dyDescent="0.25">
      <c r="B349" s="13"/>
      <c r="C349" s="12"/>
      <c r="N349" s="12"/>
    </row>
    <row r="350" spans="2:14" s="11" customFormat="1" ht="15" x14ac:dyDescent="0.25">
      <c r="B350" s="13"/>
      <c r="C350" s="12"/>
      <c r="N350" s="12"/>
    </row>
    <row r="351" spans="2:14" s="11" customFormat="1" ht="15" x14ac:dyDescent="0.25">
      <c r="B351" s="13"/>
      <c r="C351" s="12"/>
      <c r="N351" s="12"/>
    </row>
    <row r="352" spans="2:14" s="11" customFormat="1" ht="15" x14ac:dyDescent="0.25">
      <c r="B352" s="13"/>
      <c r="C352" s="12"/>
      <c r="N352" s="12"/>
    </row>
    <row r="353" spans="2:14" s="11" customFormat="1" ht="15" x14ac:dyDescent="0.25">
      <c r="B353" s="13"/>
      <c r="C353" s="12"/>
      <c r="N353" s="12"/>
    </row>
    <row r="354" spans="2:14" s="11" customFormat="1" ht="15" x14ac:dyDescent="0.25">
      <c r="B354" s="13"/>
      <c r="C354" s="12"/>
      <c r="N354" s="12"/>
    </row>
    <row r="355" spans="2:14" s="11" customFormat="1" ht="15" x14ac:dyDescent="0.25">
      <c r="B355" s="13"/>
      <c r="C355" s="12"/>
      <c r="N355" s="12"/>
    </row>
    <row r="356" spans="2:14" s="11" customFormat="1" ht="15" x14ac:dyDescent="0.25">
      <c r="B356" s="13"/>
      <c r="C356" s="12"/>
      <c r="N356" s="12"/>
    </row>
    <row r="357" spans="2:14" s="11" customFormat="1" ht="15" x14ac:dyDescent="0.25">
      <c r="B357" s="13"/>
      <c r="C357" s="12"/>
      <c r="N357" s="12"/>
    </row>
    <row r="358" spans="2:14" s="11" customFormat="1" ht="15" x14ac:dyDescent="0.25">
      <c r="B358" s="13"/>
      <c r="C358" s="12"/>
      <c r="N358" s="12"/>
    </row>
    <row r="359" spans="2:14" s="11" customFormat="1" ht="15" x14ac:dyDescent="0.25">
      <c r="B359" s="13"/>
      <c r="C359" s="12"/>
      <c r="N359" s="12"/>
    </row>
    <row r="360" spans="2:14" s="11" customFormat="1" ht="15" x14ac:dyDescent="0.25">
      <c r="B360" s="13"/>
      <c r="C360" s="12"/>
      <c r="N360" s="12"/>
    </row>
    <row r="361" spans="2:14" s="11" customFormat="1" ht="15" x14ac:dyDescent="0.25">
      <c r="B361" s="13"/>
      <c r="C361" s="12"/>
      <c r="N361" s="12"/>
    </row>
    <row r="362" spans="2:14" s="11" customFormat="1" ht="15" x14ac:dyDescent="0.25">
      <c r="B362" s="13"/>
      <c r="C362" s="12"/>
      <c r="N362" s="12"/>
    </row>
    <row r="363" spans="2:14" s="11" customFormat="1" ht="15" x14ac:dyDescent="0.25">
      <c r="B363" s="13"/>
      <c r="C363" s="12"/>
      <c r="N363" s="12"/>
    </row>
    <row r="364" spans="2:14" s="11" customFormat="1" ht="15" x14ac:dyDescent="0.25">
      <c r="B364" s="13"/>
      <c r="C364" s="12"/>
      <c r="N364" s="12"/>
    </row>
    <row r="365" spans="2:14" s="11" customFormat="1" ht="15" x14ac:dyDescent="0.25">
      <c r="B365" s="13"/>
      <c r="C365" s="12"/>
      <c r="N365" s="12"/>
    </row>
    <row r="366" spans="2:14" s="11" customFormat="1" ht="15" x14ac:dyDescent="0.25">
      <c r="B366" s="13"/>
      <c r="C366" s="12"/>
      <c r="N366" s="12"/>
    </row>
    <row r="367" spans="2:14" s="11" customFormat="1" ht="15" x14ac:dyDescent="0.25">
      <c r="B367" s="13"/>
      <c r="C367" s="12"/>
      <c r="N367" s="12"/>
    </row>
    <row r="368" spans="2:14" s="11" customFormat="1" ht="15" x14ac:dyDescent="0.25">
      <c r="B368" s="13"/>
      <c r="C368" s="12"/>
      <c r="N368" s="12"/>
    </row>
    <row r="369" spans="2:14" s="11" customFormat="1" ht="15" x14ac:dyDescent="0.25">
      <c r="B369" s="13"/>
      <c r="C369" s="12"/>
      <c r="N369" s="12"/>
    </row>
    <row r="370" spans="2:14" s="11" customFormat="1" ht="15" x14ac:dyDescent="0.25">
      <c r="B370" s="13"/>
      <c r="C370" s="12"/>
      <c r="N370" s="12"/>
    </row>
    <row r="371" spans="2:14" s="11" customFormat="1" ht="15" x14ac:dyDescent="0.25">
      <c r="B371" s="13"/>
      <c r="C371" s="12"/>
      <c r="N371" s="12"/>
    </row>
    <row r="372" spans="2:14" s="11" customFormat="1" ht="15" x14ac:dyDescent="0.25">
      <c r="B372" s="13"/>
      <c r="C372" s="12"/>
      <c r="N372" s="12"/>
    </row>
    <row r="373" spans="2:14" s="11" customFormat="1" ht="15" x14ac:dyDescent="0.25">
      <c r="B373" s="13"/>
      <c r="C373" s="12"/>
      <c r="N373" s="12"/>
    </row>
    <row r="374" spans="2:14" s="11" customFormat="1" ht="15" x14ac:dyDescent="0.25">
      <c r="B374" s="13"/>
      <c r="C374" s="12"/>
      <c r="N374" s="12"/>
    </row>
    <row r="375" spans="2:14" s="11" customFormat="1" ht="15" x14ac:dyDescent="0.25">
      <c r="B375" s="13"/>
      <c r="C375" s="12"/>
      <c r="N375" s="12"/>
    </row>
    <row r="376" spans="2:14" s="11" customFormat="1" ht="15" x14ac:dyDescent="0.25">
      <c r="B376" s="13"/>
      <c r="C376" s="12"/>
      <c r="N376" s="12"/>
    </row>
    <row r="377" spans="2:14" s="11" customFormat="1" ht="15" x14ac:dyDescent="0.25">
      <c r="B377" s="13"/>
      <c r="C377" s="12"/>
      <c r="N377" s="12"/>
    </row>
    <row r="378" spans="2:14" s="11" customFormat="1" ht="15" x14ac:dyDescent="0.25">
      <c r="B378" s="13"/>
      <c r="C378" s="12"/>
      <c r="N378" s="12"/>
    </row>
    <row r="379" spans="2:14" s="11" customFormat="1" ht="15" x14ac:dyDescent="0.25">
      <c r="B379" s="13"/>
      <c r="C379" s="12"/>
      <c r="N379" s="12"/>
    </row>
    <row r="380" spans="2:14" s="11" customFormat="1" ht="15" x14ac:dyDescent="0.25">
      <c r="B380" s="13"/>
      <c r="C380" s="12"/>
      <c r="N380" s="12"/>
    </row>
    <row r="381" spans="2:14" s="11" customFormat="1" ht="15" x14ac:dyDescent="0.25">
      <c r="B381" s="13"/>
      <c r="C381" s="12"/>
      <c r="N381" s="12"/>
    </row>
    <row r="382" spans="2:14" s="11" customFormat="1" ht="15" x14ac:dyDescent="0.25">
      <c r="B382" s="13"/>
      <c r="C382" s="12"/>
      <c r="N382" s="12"/>
    </row>
    <row r="383" spans="2:14" s="11" customFormat="1" ht="15" x14ac:dyDescent="0.25">
      <c r="B383" s="13"/>
      <c r="C383" s="12"/>
      <c r="N383" s="12"/>
    </row>
    <row r="384" spans="2:14" s="11" customFormat="1" ht="15" x14ac:dyDescent="0.25">
      <c r="B384" s="13"/>
      <c r="C384" s="12"/>
      <c r="N384" s="12"/>
    </row>
    <row r="385" spans="2:14" s="11" customFormat="1" ht="15" x14ac:dyDescent="0.25">
      <c r="B385" s="13"/>
      <c r="C385" s="12"/>
      <c r="N385" s="12"/>
    </row>
    <row r="386" spans="2:14" s="11" customFormat="1" ht="15" x14ac:dyDescent="0.25">
      <c r="B386" s="13"/>
      <c r="C386" s="12"/>
      <c r="N386" s="12"/>
    </row>
    <row r="387" spans="2:14" s="11" customFormat="1" ht="15" x14ac:dyDescent="0.25">
      <c r="B387" s="13"/>
      <c r="C387" s="12"/>
      <c r="N387" s="12"/>
    </row>
    <row r="388" spans="2:14" s="11" customFormat="1" ht="15" x14ac:dyDescent="0.25">
      <c r="B388" s="13"/>
      <c r="C388" s="12"/>
      <c r="N388" s="12"/>
    </row>
    <row r="389" spans="2:14" s="11" customFormat="1" ht="15" x14ac:dyDescent="0.25">
      <c r="B389" s="13"/>
      <c r="C389" s="12"/>
      <c r="N389" s="12"/>
    </row>
    <row r="390" spans="2:14" s="11" customFormat="1" ht="15" x14ac:dyDescent="0.25">
      <c r="B390" s="13"/>
      <c r="C390" s="12"/>
      <c r="N390" s="12"/>
    </row>
    <row r="391" spans="2:14" s="11" customFormat="1" ht="15" x14ac:dyDescent="0.25">
      <c r="B391" s="13"/>
      <c r="C391" s="12"/>
      <c r="N391" s="12"/>
    </row>
    <row r="392" spans="2:14" s="11" customFormat="1" ht="15" x14ac:dyDescent="0.25">
      <c r="B392" s="13"/>
      <c r="C392" s="12"/>
      <c r="N392" s="12"/>
    </row>
    <row r="393" spans="2:14" s="11" customFormat="1" ht="15" x14ac:dyDescent="0.25">
      <c r="B393" s="13"/>
      <c r="C393" s="12"/>
      <c r="N393" s="12"/>
    </row>
    <row r="394" spans="2:14" s="11" customFormat="1" ht="15" x14ac:dyDescent="0.25">
      <c r="B394" s="13"/>
      <c r="C394" s="12"/>
      <c r="N394" s="12"/>
    </row>
    <row r="395" spans="2:14" s="11" customFormat="1" ht="15" x14ac:dyDescent="0.25">
      <c r="B395" s="13"/>
      <c r="C395" s="12"/>
      <c r="N395" s="12"/>
    </row>
    <row r="396" spans="2:14" s="11" customFormat="1" ht="15" x14ac:dyDescent="0.25">
      <c r="B396" s="13"/>
      <c r="C396" s="12"/>
      <c r="N396" s="12"/>
    </row>
    <row r="397" spans="2:14" s="11" customFormat="1" ht="15" x14ac:dyDescent="0.25">
      <c r="B397" s="13"/>
      <c r="C397" s="12"/>
      <c r="N397" s="12"/>
    </row>
    <row r="398" spans="2:14" s="11" customFormat="1" ht="15" x14ac:dyDescent="0.25">
      <c r="B398" s="13"/>
      <c r="C398" s="12"/>
      <c r="N398" s="12"/>
    </row>
    <row r="399" spans="2:14" s="11" customFormat="1" ht="15" x14ac:dyDescent="0.25">
      <c r="B399" s="13"/>
      <c r="C399" s="12"/>
      <c r="N399" s="12"/>
    </row>
    <row r="400" spans="2:14" s="11" customFormat="1" ht="15" x14ac:dyDescent="0.25">
      <c r="B400" s="13"/>
      <c r="C400" s="12"/>
      <c r="N400" s="12"/>
    </row>
    <row r="401" spans="2:14" s="11" customFormat="1" ht="15" x14ac:dyDescent="0.25">
      <c r="B401" s="13"/>
      <c r="C401" s="12"/>
      <c r="N401" s="12"/>
    </row>
    <row r="402" spans="2:14" s="11" customFormat="1" ht="15" x14ac:dyDescent="0.25">
      <c r="B402" s="13"/>
      <c r="C402" s="12"/>
      <c r="N402" s="12"/>
    </row>
    <row r="403" spans="2:14" s="11" customFormat="1" ht="15" x14ac:dyDescent="0.25">
      <c r="B403" s="13"/>
      <c r="C403" s="12"/>
      <c r="N403" s="12"/>
    </row>
    <row r="404" spans="2:14" s="11" customFormat="1" ht="15" x14ac:dyDescent="0.25">
      <c r="B404" s="13"/>
      <c r="C404" s="12"/>
      <c r="N404" s="12"/>
    </row>
    <row r="405" spans="2:14" s="11" customFormat="1" ht="15" x14ac:dyDescent="0.25">
      <c r="B405" s="13"/>
      <c r="C405" s="12"/>
      <c r="N405" s="12"/>
    </row>
    <row r="406" spans="2:14" s="11" customFormat="1" ht="15" x14ac:dyDescent="0.25">
      <c r="B406" s="13"/>
      <c r="C406" s="12"/>
      <c r="N406" s="12"/>
    </row>
    <row r="407" spans="2:14" s="11" customFormat="1" ht="15" x14ac:dyDescent="0.25">
      <c r="B407" s="13"/>
      <c r="C407" s="12"/>
      <c r="N407" s="12"/>
    </row>
    <row r="408" spans="2:14" s="11" customFormat="1" ht="15" x14ac:dyDescent="0.25">
      <c r="B408" s="13"/>
      <c r="C408" s="12"/>
      <c r="N408" s="12"/>
    </row>
    <row r="409" spans="2:14" s="11" customFormat="1" ht="15" x14ac:dyDescent="0.25">
      <c r="B409" s="13"/>
      <c r="C409" s="12"/>
      <c r="N409" s="12"/>
    </row>
    <row r="410" spans="2:14" s="11" customFormat="1" ht="15" x14ac:dyDescent="0.25">
      <c r="B410" s="13"/>
      <c r="C410" s="12"/>
      <c r="N410" s="12"/>
    </row>
    <row r="411" spans="2:14" s="11" customFormat="1" ht="15" x14ac:dyDescent="0.25">
      <c r="B411" s="13"/>
      <c r="C411" s="12"/>
      <c r="N411" s="12"/>
    </row>
    <row r="412" spans="2:14" s="11" customFormat="1" ht="15" x14ac:dyDescent="0.25">
      <c r="B412" s="13"/>
      <c r="C412" s="12"/>
      <c r="N412" s="12"/>
    </row>
    <row r="413" spans="2:14" s="11" customFormat="1" ht="15" x14ac:dyDescent="0.25">
      <c r="B413" s="13"/>
      <c r="C413" s="12"/>
      <c r="N413" s="12"/>
    </row>
    <row r="414" spans="2:14" s="11" customFormat="1" ht="15" x14ac:dyDescent="0.25">
      <c r="B414" s="13"/>
      <c r="C414" s="12"/>
      <c r="N414" s="12"/>
    </row>
    <row r="415" spans="2:14" s="11" customFormat="1" ht="15" x14ac:dyDescent="0.25">
      <c r="B415" s="13"/>
      <c r="C415" s="12"/>
      <c r="N415" s="12"/>
    </row>
    <row r="416" spans="2:14" s="11" customFormat="1" ht="15" x14ac:dyDescent="0.25">
      <c r="B416" s="13"/>
      <c r="C416" s="12"/>
      <c r="N416" s="12"/>
    </row>
    <row r="417" spans="2:14" s="11" customFormat="1" ht="15" x14ac:dyDescent="0.25">
      <c r="B417" s="13"/>
      <c r="C417" s="12"/>
      <c r="N417" s="12"/>
    </row>
    <row r="418" spans="2:14" s="11" customFormat="1" ht="15" x14ac:dyDescent="0.25">
      <c r="B418" s="13"/>
      <c r="C418" s="12"/>
      <c r="N418" s="12"/>
    </row>
    <row r="419" spans="2:14" s="11" customFormat="1" ht="15" x14ac:dyDescent="0.25">
      <c r="B419" s="13"/>
      <c r="C419" s="12"/>
      <c r="N419" s="12"/>
    </row>
    <row r="420" spans="2:14" s="11" customFormat="1" ht="15" x14ac:dyDescent="0.25">
      <c r="B420" s="13"/>
      <c r="C420" s="12"/>
      <c r="N420" s="12"/>
    </row>
    <row r="421" spans="2:14" s="11" customFormat="1" ht="15" x14ac:dyDescent="0.25">
      <c r="B421" s="13"/>
      <c r="C421" s="12"/>
      <c r="N421" s="12"/>
    </row>
    <row r="422" spans="2:14" s="11" customFormat="1" ht="15" x14ac:dyDescent="0.25">
      <c r="B422" s="13"/>
      <c r="C422" s="12"/>
      <c r="N422" s="12"/>
    </row>
    <row r="423" spans="2:14" s="11" customFormat="1" ht="15" x14ac:dyDescent="0.25">
      <c r="B423" s="13"/>
      <c r="C423" s="12"/>
      <c r="N423" s="12"/>
    </row>
    <row r="424" spans="2:14" s="11" customFormat="1" ht="15" x14ac:dyDescent="0.25">
      <c r="B424" s="13"/>
      <c r="C424" s="12"/>
      <c r="N424" s="12"/>
    </row>
    <row r="425" spans="2:14" s="11" customFormat="1" ht="15" x14ac:dyDescent="0.25">
      <c r="B425" s="13"/>
      <c r="C425" s="12"/>
      <c r="N425" s="12"/>
    </row>
    <row r="426" spans="2:14" s="11" customFormat="1" ht="15" x14ac:dyDescent="0.25">
      <c r="B426" s="13"/>
      <c r="C426" s="12"/>
      <c r="N426" s="12"/>
    </row>
    <row r="427" spans="2:14" s="11" customFormat="1" ht="15" x14ac:dyDescent="0.25">
      <c r="B427" s="13"/>
      <c r="C427" s="12"/>
      <c r="N427" s="12"/>
    </row>
    <row r="428" spans="2:14" s="11" customFormat="1" ht="15" x14ac:dyDescent="0.25">
      <c r="B428" s="13"/>
      <c r="C428" s="12"/>
      <c r="N428" s="12"/>
    </row>
    <row r="429" spans="2:14" s="11" customFormat="1" ht="15" x14ac:dyDescent="0.25">
      <c r="B429" s="13"/>
      <c r="C429" s="12"/>
      <c r="N429" s="12"/>
    </row>
    <row r="430" spans="2:14" s="11" customFormat="1" ht="15" x14ac:dyDescent="0.25">
      <c r="B430" s="13"/>
      <c r="C430" s="12"/>
      <c r="N430" s="12"/>
    </row>
    <row r="431" spans="2:14" s="11" customFormat="1" ht="15" x14ac:dyDescent="0.25">
      <c r="B431" s="13"/>
      <c r="C431" s="12"/>
      <c r="N431" s="12"/>
    </row>
    <row r="432" spans="2:14" s="11" customFormat="1" ht="15" x14ac:dyDescent="0.25">
      <c r="B432" s="13"/>
      <c r="C432" s="12"/>
      <c r="N432" s="12"/>
    </row>
    <row r="433" spans="2:14" s="11" customFormat="1" ht="15" x14ac:dyDescent="0.25">
      <c r="B433" s="13"/>
      <c r="C433" s="12"/>
      <c r="N433" s="12"/>
    </row>
    <row r="434" spans="2:14" s="11" customFormat="1" ht="15" x14ac:dyDescent="0.25">
      <c r="B434" s="13"/>
      <c r="C434" s="12"/>
      <c r="N434" s="12"/>
    </row>
    <row r="435" spans="2:14" s="11" customFormat="1" ht="15" x14ac:dyDescent="0.25">
      <c r="B435" s="13"/>
      <c r="C435" s="12"/>
      <c r="N435" s="12"/>
    </row>
    <row r="436" spans="2:14" s="11" customFormat="1" ht="15" x14ac:dyDescent="0.25">
      <c r="B436" s="13"/>
      <c r="C436" s="12"/>
      <c r="N436" s="12"/>
    </row>
    <row r="437" spans="2:14" s="11" customFormat="1" ht="15" x14ac:dyDescent="0.25">
      <c r="B437" s="13"/>
      <c r="C437" s="12"/>
      <c r="N437" s="12"/>
    </row>
    <row r="438" spans="2:14" s="11" customFormat="1" ht="15" x14ac:dyDescent="0.25">
      <c r="B438" s="13"/>
      <c r="C438" s="12"/>
      <c r="N438" s="12"/>
    </row>
    <row r="439" spans="2:14" s="11" customFormat="1" ht="15" x14ac:dyDescent="0.25">
      <c r="B439" s="13"/>
      <c r="C439" s="12"/>
      <c r="N439" s="12"/>
    </row>
    <row r="440" spans="2:14" s="11" customFormat="1" ht="15" x14ac:dyDescent="0.25">
      <c r="B440" s="13"/>
      <c r="C440" s="12"/>
      <c r="N440" s="12"/>
    </row>
    <row r="441" spans="2:14" s="11" customFormat="1" ht="15" x14ac:dyDescent="0.25">
      <c r="B441" s="13"/>
      <c r="C441" s="12"/>
      <c r="N441" s="12"/>
    </row>
    <row r="442" spans="2:14" s="11" customFormat="1" ht="15" x14ac:dyDescent="0.25">
      <c r="B442" s="13"/>
      <c r="C442" s="12"/>
      <c r="N442" s="12"/>
    </row>
    <row r="443" spans="2:14" s="11" customFormat="1" ht="15" x14ac:dyDescent="0.25">
      <c r="B443" s="13"/>
      <c r="C443" s="12"/>
      <c r="N443" s="12"/>
    </row>
    <row r="444" spans="2:14" s="11" customFormat="1" ht="15" x14ac:dyDescent="0.25">
      <c r="B444" s="13"/>
      <c r="C444" s="12"/>
      <c r="N444" s="12"/>
    </row>
    <row r="445" spans="2:14" s="11" customFormat="1" ht="15" x14ac:dyDescent="0.25">
      <c r="B445" s="13"/>
      <c r="C445" s="12"/>
      <c r="N445" s="12"/>
    </row>
    <row r="446" spans="2:14" s="11" customFormat="1" ht="15" x14ac:dyDescent="0.25">
      <c r="B446" s="13"/>
      <c r="C446" s="12"/>
      <c r="N446" s="12"/>
    </row>
    <row r="447" spans="2:14" s="11" customFormat="1" ht="15" x14ac:dyDescent="0.25">
      <c r="B447" s="13"/>
      <c r="C447" s="12"/>
      <c r="N447" s="12"/>
    </row>
    <row r="448" spans="2:14" s="11" customFormat="1" ht="15" x14ac:dyDescent="0.25">
      <c r="B448" s="13"/>
      <c r="C448" s="12"/>
      <c r="N448" s="12"/>
    </row>
    <row r="449" spans="2:14" s="11" customFormat="1" ht="15" x14ac:dyDescent="0.25">
      <c r="B449" s="13"/>
      <c r="C449" s="12"/>
      <c r="N449" s="12"/>
    </row>
    <row r="450" spans="2:14" s="11" customFormat="1" ht="15" x14ac:dyDescent="0.25">
      <c r="B450" s="13"/>
      <c r="C450" s="12"/>
      <c r="N450" s="12"/>
    </row>
    <row r="451" spans="2:14" s="11" customFormat="1" ht="15" x14ac:dyDescent="0.25">
      <c r="B451" s="13"/>
      <c r="C451" s="12"/>
      <c r="N451" s="12"/>
    </row>
    <row r="452" spans="2:14" s="11" customFormat="1" ht="15" x14ac:dyDescent="0.25">
      <c r="B452" s="13"/>
      <c r="C452" s="12"/>
      <c r="N452" s="12"/>
    </row>
    <row r="453" spans="2:14" s="11" customFormat="1" ht="15" x14ac:dyDescent="0.25">
      <c r="B453" s="13"/>
      <c r="C453" s="12"/>
      <c r="N453" s="12"/>
    </row>
    <row r="454" spans="2:14" s="11" customFormat="1" ht="15" x14ac:dyDescent="0.25">
      <c r="B454" s="13"/>
      <c r="C454" s="12"/>
      <c r="N454" s="12"/>
    </row>
    <row r="455" spans="2:14" s="11" customFormat="1" ht="15" x14ac:dyDescent="0.25">
      <c r="B455" s="13"/>
      <c r="C455" s="12"/>
      <c r="N455" s="12"/>
    </row>
    <row r="456" spans="2:14" s="11" customFormat="1" ht="15" x14ac:dyDescent="0.25">
      <c r="B456" s="13"/>
      <c r="C456" s="12"/>
      <c r="N456" s="12"/>
    </row>
    <row r="457" spans="2:14" s="11" customFormat="1" ht="15" x14ac:dyDescent="0.25">
      <c r="B457" s="13"/>
      <c r="C457" s="12"/>
      <c r="N457" s="12"/>
    </row>
    <row r="458" spans="2:14" s="11" customFormat="1" ht="15" x14ac:dyDescent="0.25">
      <c r="B458" s="13"/>
      <c r="C458" s="12"/>
      <c r="N458" s="12"/>
    </row>
    <row r="459" spans="2:14" s="11" customFormat="1" ht="15" x14ac:dyDescent="0.25">
      <c r="B459" s="13"/>
      <c r="C459" s="12"/>
      <c r="N459" s="12"/>
    </row>
    <row r="460" spans="2:14" s="11" customFormat="1" ht="15" x14ac:dyDescent="0.25">
      <c r="B460" s="13"/>
      <c r="C460" s="12"/>
      <c r="N460" s="12"/>
    </row>
    <row r="461" spans="2:14" s="11" customFormat="1" ht="15" x14ac:dyDescent="0.25">
      <c r="B461" s="13"/>
      <c r="C461" s="12"/>
      <c r="N461" s="12"/>
    </row>
    <row r="462" spans="2:14" s="11" customFormat="1" ht="15" x14ac:dyDescent="0.25">
      <c r="B462" s="13"/>
      <c r="C462" s="12"/>
      <c r="N462" s="12"/>
    </row>
    <row r="463" spans="2:14" s="11" customFormat="1" ht="15" x14ac:dyDescent="0.25">
      <c r="B463" s="13"/>
      <c r="C463" s="12"/>
      <c r="N463" s="12"/>
    </row>
    <row r="464" spans="2:14" s="11" customFormat="1" ht="15" x14ac:dyDescent="0.25">
      <c r="B464" s="13"/>
      <c r="C464" s="12"/>
      <c r="N464" s="12"/>
    </row>
    <row r="465" spans="2:14" s="11" customFormat="1" ht="15" x14ac:dyDescent="0.25">
      <c r="B465" s="13"/>
      <c r="C465" s="12"/>
      <c r="N465" s="12"/>
    </row>
    <row r="466" spans="2:14" s="11" customFormat="1" ht="15" x14ac:dyDescent="0.25">
      <c r="B466" s="13"/>
      <c r="C466" s="12"/>
      <c r="N466" s="12"/>
    </row>
    <row r="467" spans="2:14" s="11" customFormat="1" ht="15" x14ac:dyDescent="0.25">
      <c r="B467" s="13"/>
      <c r="C467" s="12"/>
      <c r="N467" s="12"/>
    </row>
    <row r="468" spans="2:14" s="11" customFormat="1" ht="15" x14ac:dyDescent="0.25">
      <c r="B468" s="13"/>
      <c r="C468" s="12"/>
      <c r="N468" s="12"/>
    </row>
    <row r="469" spans="2:14" s="11" customFormat="1" ht="15" x14ac:dyDescent="0.25">
      <c r="B469" s="13"/>
      <c r="C469" s="12"/>
      <c r="N469" s="12"/>
    </row>
    <row r="470" spans="2:14" s="11" customFormat="1" ht="15" x14ac:dyDescent="0.25">
      <c r="B470" s="13"/>
      <c r="C470" s="12"/>
      <c r="N470" s="12"/>
    </row>
    <row r="471" spans="2:14" s="11" customFormat="1" ht="15" x14ac:dyDescent="0.25">
      <c r="B471" s="13"/>
      <c r="C471" s="12"/>
      <c r="N471" s="12"/>
    </row>
    <row r="472" spans="2:14" s="11" customFormat="1" ht="15" x14ac:dyDescent="0.25">
      <c r="B472" s="13"/>
      <c r="C472" s="12"/>
      <c r="N472" s="12"/>
    </row>
    <row r="473" spans="2:14" s="11" customFormat="1" ht="15" x14ac:dyDescent="0.25">
      <c r="B473" s="13"/>
      <c r="C473" s="12"/>
      <c r="N473" s="12"/>
    </row>
    <row r="474" spans="2:14" s="11" customFormat="1" ht="15" x14ac:dyDescent="0.25">
      <c r="B474" s="13"/>
      <c r="C474" s="12"/>
      <c r="N474" s="12"/>
    </row>
    <row r="475" spans="2:14" s="11" customFormat="1" ht="15" x14ac:dyDescent="0.25">
      <c r="B475" s="13"/>
      <c r="C475" s="12"/>
      <c r="N475" s="12"/>
    </row>
    <row r="476" spans="2:14" s="11" customFormat="1" ht="15" x14ac:dyDescent="0.25">
      <c r="B476" s="13"/>
      <c r="C476" s="12"/>
      <c r="N476" s="12"/>
    </row>
    <row r="477" spans="2:14" s="11" customFormat="1" ht="15" x14ac:dyDescent="0.25">
      <c r="B477" s="13"/>
      <c r="C477" s="12"/>
      <c r="N477" s="12"/>
    </row>
    <row r="478" spans="2:14" s="11" customFormat="1" ht="15" x14ac:dyDescent="0.25">
      <c r="B478" s="13"/>
      <c r="C478" s="12"/>
      <c r="N478" s="12"/>
    </row>
    <row r="479" spans="2:14" s="11" customFormat="1" ht="15" x14ac:dyDescent="0.25">
      <c r="B479" s="13"/>
      <c r="C479" s="12"/>
      <c r="N479" s="12"/>
    </row>
    <row r="480" spans="2:14" s="11" customFormat="1" ht="15" x14ac:dyDescent="0.25">
      <c r="B480" s="13"/>
      <c r="C480" s="12"/>
      <c r="N480" s="12"/>
    </row>
    <row r="481" spans="2:14" s="11" customFormat="1" ht="15" x14ac:dyDescent="0.25">
      <c r="B481" s="13"/>
      <c r="C481" s="12"/>
      <c r="N481" s="12"/>
    </row>
    <row r="482" spans="2:14" s="11" customFormat="1" ht="15" x14ac:dyDescent="0.25">
      <c r="B482" s="13"/>
      <c r="C482" s="12"/>
      <c r="N482" s="12"/>
    </row>
    <row r="483" spans="2:14" s="11" customFormat="1" ht="15" x14ac:dyDescent="0.25">
      <c r="B483" s="13"/>
      <c r="C483" s="12"/>
      <c r="N483" s="12"/>
    </row>
    <row r="484" spans="2:14" s="11" customFormat="1" ht="15" x14ac:dyDescent="0.25">
      <c r="B484" s="13"/>
      <c r="C484" s="12"/>
      <c r="N484" s="12"/>
    </row>
    <row r="485" spans="2:14" s="11" customFormat="1" ht="15" x14ac:dyDescent="0.25">
      <c r="B485" s="13"/>
      <c r="C485" s="12"/>
      <c r="N485" s="12"/>
    </row>
    <row r="486" spans="2:14" s="11" customFormat="1" ht="15" x14ac:dyDescent="0.25">
      <c r="B486" s="13"/>
      <c r="C486" s="12"/>
      <c r="N486" s="12"/>
    </row>
    <row r="487" spans="2:14" s="11" customFormat="1" ht="15" x14ac:dyDescent="0.25">
      <c r="B487" s="13"/>
      <c r="C487" s="12"/>
      <c r="N487" s="12"/>
    </row>
    <row r="488" spans="2:14" s="11" customFormat="1" ht="15" x14ac:dyDescent="0.25">
      <c r="B488" s="13"/>
      <c r="C488" s="12"/>
      <c r="N488" s="12"/>
    </row>
    <row r="489" spans="2:14" s="11" customFormat="1" ht="15" x14ac:dyDescent="0.25">
      <c r="B489" s="13"/>
      <c r="C489" s="12"/>
      <c r="N489" s="12"/>
    </row>
    <row r="490" spans="2:14" s="11" customFormat="1" ht="15" x14ac:dyDescent="0.25">
      <c r="B490" s="13"/>
      <c r="C490" s="12"/>
      <c r="N490" s="12"/>
    </row>
    <row r="491" spans="2:14" s="11" customFormat="1" ht="15" x14ac:dyDescent="0.25">
      <c r="B491" s="13"/>
      <c r="C491" s="12"/>
      <c r="N491" s="12"/>
    </row>
    <row r="492" spans="2:14" s="11" customFormat="1" ht="15" x14ac:dyDescent="0.25">
      <c r="B492" s="13"/>
      <c r="C492" s="12"/>
      <c r="N492" s="12"/>
    </row>
    <row r="493" spans="2:14" s="11" customFormat="1" ht="15" x14ac:dyDescent="0.25">
      <c r="B493" s="13"/>
      <c r="C493" s="12"/>
      <c r="N493" s="12"/>
    </row>
    <row r="494" spans="2:14" s="11" customFormat="1" ht="15" x14ac:dyDescent="0.25">
      <c r="B494" s="13"/>
      <c r="C494" s="12"/>
      <c r="N494" s="12"/>
    </row>
    <row r="495" spans="2:14" s="11" customFormat="1" ht="15" x14ac:dyDescent="0.25">
      <c r="B495" s="13"/>
      <c r="C495" s="12"/>
      <c r="N495" s="12"/>
    </row>
    <row r="496" spans="2:14" s="11" customFormat="1" ht="15" x14ac:dyDescent="0.25">
      <c r="B496" s="13"/>
      <c r="C496" s="12"/>
      <c r="N496" s="12"/>
    </row>
    <row r="497" spans="2:14" s="11" customFormat="1" ht="15" x14ac:dyDescent="0.25">
      <c r="B497" s="13"/>
      <c r="C497" s="12"/>
      <c r="N497" s="12"/>
    </row>
    <row r="498" spans="2:14" s="11" customFormat="1" ht="15" x14ac:dyDescent="0.25">
      <c r="B498" s="13"/>
      <c r="C498" s="12"/>
      <c r="N498" s="12"/>
    </row>
    <row r="499" spans="2:14" s="11" customFormat="1" ht="15" x14ac:dyDescent="0.25">
      <c r="B499" s="13"/>
      <c r="C499" s="12"/>
      <c r="N499" s="12"/>
    </row>
    <row r="500" spans="2:14" s="11" customFormat="1" ht="15" x14ac:dyDescent="0.25">
      <c r="B500" s="13"/>
      <c r="C500" s="12"/>
      <c r="N500" s="12"/>
    </row>
    <row r="501" spans="2:14" s="11" customFormat="1" ht="15" x14ac:dyDescent="0.25">
      <c r="B501" s="13"/>
      <c r="C501" s="12"/>
      <c r="N501" s="12"/>
    </row>
    <row r="502" spans="2:14" s="11" customFormat="1" ht="15" x14ac:dyDescent="0.25">
      <c r="B502" s="13"/>
      <c r="C502" s="12"/>
      <c r="N502" s="12"/>
    </row>
    <row r="503" spans="2:14" s="11" customFormat="1" ht="15" x14ac:dyDescent="0.25">
      <c r="B503" s="13"/>
      <c r="C503" s="12"/>
      <c r="N503" s="12"/>
    </row>
    <row r="504" spans="2:14" s="11" customFormat="1" ht="15" x14ac:dyDescent="0.25">
      <c r="B504" s="13"/>
      <c r="C504" s="12"/>
      <c r="N504" s="12"/>
    </row>
    <row r="505" spans="2:14" s="11" customFormat="1" ht="15" x14ac:dyDescent="0.25">
      <c r="B505" s="13"/>
      <c r="C505" s="12"/>
      <c r="N505" s="12"/>
    </row>
    <row r="506" spans="2:14" s="11" customFormat="1" ht="15" x14ac:dyDescent="0.25">
      <c r="B506" s="13"/>
      <c r="C506" s="12"/>
      <c r="N506" s="12"/>
    </row>
    <row r="507" spans="2:14" s="11" customFormat="1" ht="15" x14ac:dyDescent="0.25">
      <c r="B507" s="13"/>
      <c r="C507" s="12"/>
      <c r="N507" s="12"/>
    </row>
    <row r="508" spans="2:14" s="11" customFormat="1" ht="15" x14ac:dyDescent="0.25">
      <c r="B508" s="13"/>
      <c r="C508" s="12"/>
      <c r="N508" s="12"/>
    </row>
    <row r="509" spans="2:14" s="11" customFormat="1" ht="15" x14ac:dyDescent="0.25">
      <c r="B509" s="13"/>
      <c r="C509" s="12"/>
      <c r="N509" s="12"/>
    </row>
    <row r="510" spans="2:14" s="11" customFormat="1" ht="15" x14ac:dyDescent="0.25">
      <c r="B510" s="13"/>
      <c r="C510" s="12"/>
      <c r="N510" s="12"/>
    </row>
    <row r="511" spans="2:14" s="11" customFormat="1" ht="15" x14ac:dyDescent="0.25">
      <c r="B511" s="13"/>
      <c r="C511" s="12"/>
      <c r="N511" s="12"/>
    </row>
    <row r="512" spans="2:14" s="11" customFormat="1" ht="15" x14ac:dyDescent="0.25">
      <c r="B512" s="13"/>
      <c r="C512" s="12"/>
      <c r="N512" s="12"/>
    </row>
    <row r="513" spans="2:14" s="11" customFormat="1" ht="15" x14ac:dyDescent="0.25">
      <c r="B513" s="13"/>
      <c r="C513" s="12"/>
      <c r="N513" s="12"/>
    </row>
    <row r="514" spans="2:14" s="11" customFormat="1" ht="15" x14ac:dyDescent="0.25">
      <c r="B514" s="13"/>
      <c r="C514" s="12"/>
      <c r="N514" s="12"/>
    </row>
    <row r="515" spans="2:14" s="11" customFormat="1" ht="15" x14ac:dyDescent="0.25">
      <c r="B515" s="13"/>
      <c r="C515" s="12"/>
      <c r="N515" s="12"/>
    </row>
    <row r="516" spans="2:14" s="11" customFormat="1" ht="15" x14ac:dyDescent="0.25">
      <c r="B516" s="13"/>
      <c r="C516" s="12"/>
      <c r="N516" s="12"/>
    </row>
    <row r="517" spans="2:14" s="11" customFormat="1" ht="15" x14ac:dyDescent="0.25">
      <c r="B517" s="13"/>
      <c r="C517" s="12"/>
      <c r="N517" s="12"/>
    </row>
    <row r="518" spans="2:14" s="11" customFormat="1" ht="15" x14ac:dyDescent="0.25">
      <c r="B518" s="13"/>
      <c r="C518" s="12"/>
      <c r="N518" s="12"/>
    </row>
    <row r="519" spans="2:14" s="11" customFormat="1" ht="15" x14ac:dyDescent="0.25">
      <c r="B519" s="13"/>
      <c r="C519" s="12"/>
      <c r="N519" s="12"/>
    </row>
    <row r="520" spans="2:14" s="11" customFormat="1" ht="15" x14ac:dyDescent="0.25">
      <c r="B520" s="13"/>
      <c r="C520" s="12"/>
      <c r="N520" s="12"/>
    </row>
    <row r="521" spans="2:14" s="11" customFormat="1" ht="15" x14ac:dyDescent="0.25">
      <c r="B521" s="13"/>
      <c r="C521" s="12"/>
      <c r="N521" s="12"/>
    </row>
    <row r="522" spans="2:14" s="11" customFormat="1" ht="15" x14ac:dyDescent="0.25">
      <c r="B522" s="13"/>
      <c r="C522" s="12"/>
      <c r="N522" s="12"/>
    </row>
    <row r="523" spans="2:14" s="11" customFormat="1" ht="15" x14ac:dyDescent="0.25">
      <c r="B523" s="13"/>
      <c r="C523" s="12"/>
      <c r="N523" s="12"/>
    </row>
    <row r="524" spans="2:14" s="11" customFormat="1" ht="15" x14ac:dyDescent="0.25">
      <c r="B524" s="13"/>
      <c r="C524" s="12"/>
      <c r="N524" s="12"/>
    </row>
    <row r="525" spans="2:14" s="11" customFormat="1" ht="15" x14ac:dyDescent="0.25">
      <c r="B525" s="13"/>
      <c r="C525" s="12"/>
      <c r="N525" s="12"/>
    </row>
    <row r="526" spans="2:14" s="11" customFormat="1" ht="15" x14ac:dyDescent="0.25">
      <c r="B526" s="13"/>
      <c r="C526" s="12"/>
      <c r="N526" s="12"/>
    </row>
    <row r="527" spans="2:14" s="11" customFormat="1" ht="15" x14ac:dyDescent="0.25">
      <c r="B527" s="13"/>
      <c r="C527" s="12"/>
      <c r="N527" s="12"/>
    </row>
    <row r="528" spans="2:14" s="11" customFormat="1" ht="15" x14ac:dyDescent="0.25">
      <c r="B528" s="13"/>
      <c r="C528" s="12"/>
      <c r="N528" s="12"/>
    </row>
    <row r="529" spans="2:14" s="11" customFormat="1" ht="15" x14ac:dyDescent="0.25">
      <c r="B529" s="13"/>
      <c r="C529" s="12"/>
      <c r="N529" s="12"/>
    </row>
    <row r="530" spans="2:14" s="11" customFormat="1" ht="15" x14ac:dyDescent="0.25">
      <c r="B530" s="13"/>
      <c r="C530" s="12"/>
      <c r="N530" s="12"/>
    </row>
    <row r="531" spans="2:14" s="11" customFormat="1" ht="15" x14ac:dyDescent="0.25">
      <c r="B531" s="13"/>
      <c r="C531" s="12"/>
      <c r="N531" s="12"/>
    </row>
    <row r="532" spans="2:14" s="11" customFormat="1" ht="15" x14ac:dyDescent="0.25">
      <c r="B532" s="13"/>
      <c r="C532" s="12"/>
      <c r="N532" s="12"/>
    </row>
    <row r="533" spans="2:14" s="11" customFormat="1" ht="15" x14ac:dyDescent="0.25">
      <c r="B533" s="13"/>
      <c r="C533" s="12"/>
      <c r="N533" s="12"/>
    </row>
    <row r="534" spans="2:14" s="11" customFormat="1" ht="15" x14ac:dyDescent="0.25">
      <c r="B534" s="13"/>
      <c r="C534" s="12"/>
      <c r="N534" s="12"/>
    </row>
    <row r="535" spans="2:14" s="11" customFormat="1" ht="15" x14ac:dyDescent="0.25">
      <c r="B535" s="13"/>
      <c r="C535" s="12"/>
      <c r="N535" s="12"/>
    </row>
    <row r="536" spans="2:14" s="11" customFormat="1" ht="15" x14ac:dyDescent="0.25">
      <c r="B536" s="13"/>
      <c r="C536" s="12"/>
      <c r="N536" s="12"/>
    </row>
    <row r="537" spans="2:14" s="11" customFormat="1" ht="15" x14ac:dyDescent="0.25">
      <c r="B537" s="13"/>
      <c r="C537" s="12"/>
      <c r="N537" s="12"/>
    </row>
    <row r="538" spans="2:14" s="11" customFormat="1" ht="15" x14ac:dyDescent="0.25">
      <c r="B538" s="13"/>
      <c r="C538" s="12"/>
      <c r="N538" s="12"/>
    </row>
    <row r="539" spans="2:14" s="11" customFormat="1" ht="15" x14ac:dyDescent="0.25">
      <c r="B539" s="13"/>
      <c r="C539" s="12"/>
      <c r="N539" s="12"/>
    </row>
    <row r="540" spans="2:14" s="11" customFormat="1" ht="15" x14ac:dyDescent="0.25">
      <c r="B540" s="13"/>
      <c r="C540" s="12"/>
      <c r="N540" s="12"/>
    </row>
    <row r="541" spans="2:14" s="11" customFormat="1" ht="15" x14ac:dyDescent="0.25">
      <c r="B541" s="13"/>
      <c r="C541" s="12"/>
      <c r="N541" s="12"/>
    </row>
    <row r="542" spans="2:14" s="11" customFormat="1" ht="15" x14ac:dyDescent="0.25">
      <c r="B542" s="13"/>
      <c r="C542" s="12"/>
      <c r="N542" s="12"/>
    </row>
    <row r="543" spans="2:14" s="11" customFormat="1" ht="15" x14ac:dyDescent="0.25">
      <c r="B543" s="13"/>
      <c r="C543" s="12"/>
      <c r="N543" s="12"/>
    </row>
    <row r="544" spans="2:14" s="11" customFormat="1" ht="15" x14ac:dyDescent="0.25">
      <c r="B544" s="13"/>
      <c r="C544" s="12"/>
      <c r="N544" s="12"/>
    </row>
    <row r="545" spans="2:14" s="11" customFormat="1" ht="15" x14ac:dyDescent="0.25">
      <c r="B545" s="13"/>
      <c r="C545" s="12"/>
      <c r="N545" s="12"/>
    </row>
    <row r="546" spans="2:14" s="11" customFormat="1" ht="15" x14ac:dyDescent="0.25">
      <c r="B546" s="13"/>
      <c r="C546" s="12"/>
      <c r="N546" s="12"/>
    </row>
    <row r="547" spans="2:14" s="11" customFormat="1" ht="15" x14ac:dyDescent="0.25">
      <c r="B547" s="13"/>
      <c r="C547" s="12"/>
      <c r="N547" s="12"/>
    </row>
    <row r="548" spans="2:14" s="11" customFormat="1" ht="15" x14ac:dyDescent="0.25">
      <c r="B548" s="13"/>
      <c r="C548" s="12"/>
      <c r="N548" s="12"/>
    </row>
    <row r="549" spans="2:14" s="11" customFormat="1" ht="15" x14ac:dyDescent="0.25">
      <c r="B549" s="13"/>
      <c r="C549" s="12"/>
      <c r="N549" s="12"/>
    </row>
    <row r="550" spans="2:14" s="11" customFormat="1" ht="15" x14ac:dyDescent="0.25">
      <c r="B550" s="13"/>
      <c r="C550" s="12"/>
      <c r="N550" s="12"/>
    </row>
    <row r="551" spans="2:14" s="11" customFormat="1" ht="15" x14ac:dyDescent="0.25">
      <c r="B551" s="13"/>
      <c r="C551" s="12"/>
      <c r="N551" s="12"/>
    </row>
    <row r="552" spans="2:14" s="11" customFormat="1" ht="15" x14ac:dyDescent="0.25">
      <c r="B552" s="13"/>
      <c r="C552" s="12"/>
      <c r="N552" s="12"/>
    </row>
    <row r="553" spans="2:14" s="11" customFormat="1" ht="15" x14ac:dyDescent="0.25">
      <c r="B553" s="13"/>
      <c r="C553" s="12"/>
      <c r="N553" s="12"/>
    </row>
    <row r="554" spans="2:14" s="11" customFormat="1" ht="15" x14ac:dyDescent="0.25">
      <c r="B554" s="13"/>
      <c r="C554" s="12"/>
      <c r="N554" s="12"/>
    </row>
    <row r="555" spans="2:14" s="11" customFormat="1" ht="15" x14ac:dyDescent="0.25">
      <c r="B555" s="13"/>
      <c r="C555" s="12"/>
      <c r="N555" s="12"/>
    </row>
    <row r="556" spans="2:14" s="11" customFormat="1" ht="15" x14ac:dyDescent="0.25">
      <c r="B556" s="13"/>
      <c r="C556" s="12"/>
      <c r="N556" s="12"/>
    </row>
    <row r="557" spans="2:14" s="11" customFormat="1" ht="15" x14ac:dyDescent="0.25">
      <c r="B557" s="13"/>
      <c r="C557" s="12"/>
      <c r="N557" s="12"/>
    </row>
    <row r="558" spans="2:14" s="11" customFormat="1" ht="15" x14ac:dyDescent="0.25">
      <c r="B558" s="13"/>
      <c r="C558" s="12"/>
      <c r="N558" s="12"/>
    </row>
    <row r="559" spans="2:14" s="11" customFormat="1" ht="15" x14ac:dyDescent="0.25">
      <c r="B559" s="13"/>
      <c r="C559" s="12"/>
      <c r="N559" s="12"/>
    </row>
    <row r="560" spans="2:14" s="11" customFormat="1" ht="15" x14ac:dyDescent="0.25">
      <c r="B560" s="13"/>
      <c r="C560" s="12"/>
      <c r="N560" s="12"/>
    </row>
    <row r="561" spans="2:14" s="11" customFormat="1" ht="15" x14ac:dyDescent="0.25">
      <c r="B561" s="13"/>
      <c r="C561" s="12"/>
      <c r="N561" s="12"/>
    </row>
    <row r="562" spans="2:14" s="11" customFormat="1" ht="15" x14ac:dyDescent="0.25">
      <c r="B562" s="13"/>
      <c r="C562" s="12"/>
      <c r="N562" s="12"/>
    </row>
    <row r="563" spans="2:14" s="11" customFormat="1" ht="15" x14ac:dyDescent="0.25">
      <c r="B563" s="13"/>
      <c r="C563" s="12"/>
      <c r="N563" s="12"/>
    </row>
    <row r="564" spans="2:14" s="11" customFormat="1" ht="15" x14ac:dyDescent="0.25">
      <c r="B564" s="13"/>
      <c r="C564" s="12"/>
      <c r="N564" s="12"/>
    </row>
    <row r="565" spans="2:14" s="11" customFormat="1" ht="15" x14ac:dyDescent="0.25">
      <c r="B565" s="13"/>
      <c r="C565" s="12"/>
      <c r="N565" s="12"/>
    </row>
    <row r="566" spans="2:14" s="11" customFormat="1" ht="15" x14ac:dyDescent="0.25">
      <c r="B566" s="13"/>
      <c r="C566" s="12"/>
      <c r="N566" s="12"/>
    </row>
    <row r="567" spans="2:14" s="11" customFormat="1" ht="15" x14ac:dyDescent="0.25">
      <c r="B567" s="13"/>
      <c r="C567" s="12"/>
      <c r="N567" s="12"/>
    </row>
    <row r="568" spans="2:14" s="11" customFormat="1" ht="15" x14ac:dyDescent="0.25">
      <c r="B568" s="13"/>
      <c r="C568" s="12"/>
      <c r="N568" s="12"/>
    </row>
    <row r="569" spans="2:14" s="11" customFormat="1" ht="15" x14ac:dyDescent="0.25">
      <c r="B569" s="13"/>
      <c r="C569" s="12"/>
      <c r="N569" s="12"/>
    </row>
    <row r="570" spans="2:14" s="11" customFormat="1" ht="15" x14ac:dyDescent="0.25">
      <c r="B570" s="13"/>
      <c r="C570" s="12"/>
      <c r="N570" s="12"/>
    </row>
  </sheetData>
  <conditionalFormatting sqref="A5:O15">
    <cfRule type="expression" dxfId="7" priority="4">
      <formula>AND($M5&lt;&gt;"",$N5&lt;0)</formula>
    </cfRule>
  </conditionalFormatting>
  <conditionalFormatting sqref="A64:O65">
    <cfRule type="expression" dxfId="6" priority="6">
      <formula>AND($M64&lt;&gt;"",$N64&lt;0)</formula>
    </cfRule>
  </conditionalFormatting>
  <conditionalFormatting sqref="E16:O18 A16:D63 E19 G19:O19 E59 G59:O59 E60:O60 E61:H61 J61:O61 E62:O63 A71:O71">
    <cfRule type="expression" dxfId="5" priority="8">
      <formula>AND($M16&lt;&gt;"",$N16&lt;0)</formula>
    </cfRule>
  </conditionalFormatting>
  <conditionalFormatting sqref="E20:O58">
    <cfRule type="expression" dxfId="4" priority="3">
      <formula>AND($M20&lt;&gt;"",$N20&lt;0)</formula>
    </cfRule>
  </conditionalFormatting>
  <conditionalFormatting sqref="S5:S65 U5:U65">
    <cfRule type="containsText" dxfId="3" priority="1" operator="containsText" text="FALSE">
      <formula>NOT(ISERROR(SEARCH("FALSE",S5)))</formula>
    </cfRule>
    <cfRule type="containsText" dxfId="2" priority="2" operator="containsText" text="TRUE">
      <formula>NOT(ISERROR(SEARCH("TRUE",S5)))</formula>
    </cfRule>
  </conditionalFormatting>
  <conditionalFormatting sqref="Y1:AB54 Y55:Z62 AA55:AB63 Y63 Y65:Z65 Y66:AB67 Z68:AB68 Y69:AB1048576">
    <cfRule type="containsText" dxfId="1" priority="5" operator="containsText" text="true">
      <formula>NOT(ISERROR(SEARCH("true",Y1)))</formula>
    </cfRule>
    <cfRule type="containsText" dxfId="0" priority="7" operator="containsText" text="TRUE">
      <formula>NOT(ISERROR(SEARCH("TRUE",Y1)))</formula>
    </cfRule>
  </conditionalFormatting>
  <printOptions horizontalCentered="1"/>
  <pageMargins left="0.5" right="0.5" top="0.75" bottom="0.5" header="0.511811023622047" footer="0"/>
  <pageSetup scale="55" fitToHeight="0" orientation="landscape" r:id="rId1"/>
  <headerFooter>
    <oddFooter>&amp;CPage &amp;P of 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INPUTS</vt:lpstr>
      <vt:lpstr>COMPARETWO</vt:lpstr>
      <vt:lpstr>COMPAREONE</vt:lpstr>
      <vt:lpstr>COMPAREONE!Print_Area</vt:lpstr>
      <vt:lpstr>COMPAREONE!Print_Titles</vt:lpstr>
      <vt:lpstr>COMPARETWO!Print_Titles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Engineering User</dc:creator>
  <cp:lastModifiedBy>Engineering User</cp:lastModifiedBy>
  <dcterms:created xsi:type="dcterms:W3CDTF">2023-06-15T19:05:34Z</dcterms:created>
  <dcterms:modified xsi:type="dcterms:W3CDTF">2023-06-20T17:41:47Z</dcterms:modified>
</cp:coreProperties>
</file>